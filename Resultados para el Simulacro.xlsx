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dync\OneDrive\Desktop\UPRIT\VI CICLO\Desarrollo de paginas web\Proyecto_Examen\"/>
    </mc:Choice>
  </mc:AlternateContent>
  <xr:revisionPtr revIDLastSave="0" documentId="13_ncr:1_{D9558958-0674-4896-BCB7-D248AB4CED1C}" xr6:coauthVersionLast="47" xr6:coauthVersionMax="47" xr10:uidLastSave="{00000000-0000-0000-0000-000000000000}"/>
  <bookViews>
    <workbookView xWindow="-120" yWindow="-120" windowWidth="20730" windowHeight="11040" activeTab="3" xr2:uid="{76C52BAB-5AB7-4638-AE00-59719CBE631B}"/>
  </bookViews>
  <sheets>
    <sheet name="BIO" sheetId="4" r:id="rId1"/>
    <sheet name="SOC" sheetId="5" r:id="rId2"/>
    <sheet name="ING" sheetId="6" r:id="rId3"/>
    <sheet name="Hoja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30" i="5" l="1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10" i="4"/>
  <c r="BJ11" i="4"/>
  <c r="BJ12" i="4"/>
  <c r="BJ13" i="4"/>
  <c r="BJ14" i="4"/>
  <c r="BJ15" i="4"/>
  <c r="BJ3" i="6"/>
  <c r="BJ3" i="5" l="1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1" i="6"/>
  <c r="BJ32" i="6"/>
  <c r="BJ33" i="6"/>
  <c r="BJ34" i="6"/>
  <c r="BJ35" i="6"/>
  <c r="BJ36" i="6"/>
  <c r="BJ37" i="6"/>
  <c r="BJ38" i="6"/>
  <c r="BJ39" i="6"/>
  <c r="BJ40" i="6"/>
  <c r="BJ41" i="6"/>
  <c r="BJ42" i="6"/>
  <c r="BJ43" i="6"/>
  <c r="BJ44" i="6"/>
  <c r="BJ45" i="6"/>
  <c r="BJ46" i="6"/>
  <c r="BJ47" i="6"/>
  <c r="BJ48" i="6"/>
  <c r="BJ49" i="6"/>
  <c r="BJ50" i="6"/>
  <c r="BJ3" i="4"/>
  <c r="BJ4" i="5" l="1"/>
  <c r="BJ5" i="5"/>
  <c r="BJ6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9" i="4"/>
  <c r="BJ4" i="4"/>
  <c r="BJ5" i="4"/>
  <c r="BJ6" i="4"/>
  <c r="BJ7" i="4"/>
  <c r="BJ8" i="4"/>
  <c r="BJ9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BJ38" i="4"/>
  <c r="BJ40" i="4"/>
  <c r="BJ41" i="4"/>
  <c r="BJ42" i="4"/>
  <c r="BJ43" i="4"/>
  <c r="BJ44" i="4"/>
  <c r="BJ45" i="4"/>
  <c r="BJ46" i="4"/>
  <c r="BJ47" i="4"/>
  <c r="BJ48" i="4"/>
  <c r="BJ49" i="4"/>
  <c r="BJ50" i="4"/>
</calcChain>
</file>

<file path=xl/sharedStrings.xml><?xml version="1.0" encoding="utf-8"?>
<sst xmlns="http://schemas.openxmlformats.org/spreadsheetml/2006/main" count="246" uniqueCount="85">
  <si>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</si>
  <si>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</si>
  <si>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</si>
  <si>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</si>
  <si>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</si>
  <si>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</si>
  <si>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</si>
  <si>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</si>
  <si>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</si>
  <si>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</si>
  <si>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Pregunta 11</t>
  </si>
  <si>
    <t>Pregunta 12</t>
  </si>
  <si>
    <t>Pregunta 13</t>
  </si>
  <si>
    <t>Pregunta 14</t>
  </si>
  <si>
    <t>Pregunta 15</t>
  </si>
  <si>
    <t>Pregunta 16</t>
  </si>
  <si>
    <t>Pregunta 17</t>
  </si>
  <si>
    <t>Pregunta 18</t>
  </si>
  <si>
    <t>Pregunta 19</t>
  </si>
  <si>
    <t>Pregunta 20</t>
  </si>
  <si>
    <t>Pregunta 21</t>
  </si>
  <si>
    <t>Pregunta 22</t>
  </si>
  <si>
    <t>Pregunta 23</t>
  </si>
  <si>
    <t>Pregunta 24</t>
  </si>
  <si>
    <t>Pregunta 25</t>
  </si>
  <si>
    <t>Pregunta 26</t>
  </si>
  <si>
    <t>Pregunta 27</t>
  </si>
  <si>
    <t>Pregunta 28</t>
  </si>
  <si>
    <t>Pregunta 29</t>
  </si>
  <si>
    <t>Pregunta 30</t>
  </si>
  <si>
    <t>Pregunta 31</t>
  </si>
  <si>
    <t>Pregunta 32</t>
  </si>
  <si>
    <t>Pregunta 33</t>
  </si>
  <si>
    <t>Pregunta 34</t>
  </si>
  <si>
    <t>Pregunta 35</t>
  </si>
  <si>
    <t>Pregunta 36</t>
  </si>
  <si>
    <t>Pregunta 37</t>
  </si>
  <si>
    <t>Pregunta 38</t>
  </si>
  <si>
    <t>Pregunta 39</t>
  </si>
  <si>
    <t>Pregunta 40</t>
  </si>
  <si>
    <t>Pregunta 41</t>
  </si>
  <si>
    <t>Pregunta 42</t>
  </si>
  <si>
    <t>Pregunta 43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</si>
  <si>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</si>
  <si>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</si>
  <si>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</si>
  <si>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</si>
  <si>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</si>
  <si>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</si>
  <si>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</si>
  <si>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</si>
  <si>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</si>
  <si>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</si>
  <si>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</si>
  <si>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</si>
  <si>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</si>
  <si>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</si>
  <si>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</si>
  <si>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</si>
  <si>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</si>
  <si>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Aritmetica</t>
  </si>
  <si>
    <t>Algebra</t>
  </si>
  <si>
    <t>Geometria</t>
  </si>
  <si>
    <t>Trigonometria</t>
  </si>
  <si>
    <t>Fisica</t>
  </si>
  <si>
    <t>Quimica</t>
  </si>
  <si>
    <t>Biologia y Anatomia</t>
  </si>
  <si>
    <t>Psicologia y Filosofia</t>
  </si>
  <si>
    <t>Historia</t>
  </si>
  <si>
    <t>Geografia</t>
  </si>
  <si>
    <t>Civica</t>
  </si>
  <si>
    <t>Economia</t>
  </si>
  <si>
    <t>Literatura</t>
  </si>
  <si>
    <t>Comunicación</t>
  </si>
  <si>
    <t>Razonamiento Verbal</t>
  </si>
  <si>
    <t>Razonamiento Matematico</t>
  </si>
  <si>
    <t>Ingles</t>
  </si>
  <si>
    <t>Quechua</t>
  </si>
  <si>
    <t>Aymara</t>
  </si>
  <si>
    <t>DNI</t>
  </si>
  <si>
    <t>Anatomia y Biologia</t>
  </si>
  <si>
    <t>RESULTADO</t>
  </si>
  <si>
    <t>RESULTADOS</t>
  </si>
  <si>
    <t>{ "DNI": "12345678", "Puntaje": 1230 },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</si>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</sst>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quotePrefix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FB5A-14B7-411D-8B67-C1D139633BC9}">
  <sheetPr codeName="Hoja1"/>
  <dimension ref="A1:BL50"/>
  <sheetViews>
    <sheetView workbookViewId="0">
      <selection activeCell="A10" sqref="A10:BJ15"/>
    </sheetView>
  </sheetViews>
  <sheetFormatPr baseColWidth="10" defaultRowHeight="15" x14ac:dyDescent="0.25"/>
  <cols>
    <col min="2" max="2" width="11.85546875" hidden="1" customWidth="1"/>
    <col min="3" max="61" width="0" hidden="1" customWidth="1"/>
    <col min="62" max="62" width="11.85546875" bestFit="1" customWidth="1"/>
    <col min="63" max="63" width="15.140625" customWidth="1"/>
    <col min="64" max="64" width="54" customWidth="1"/>
  </cols>
  <sheetData>
    <row r="1" spans="1:64" x14ac:dyDescent="0.25">
      <c r="A1" s="4"/>
      <c r="B1" s="12" t="s">
        <v>60</v>
      </c>
      <c r="C1" s="12"/>
      <c r="D1" s="12"/>
      <c r="E1" s="12" t="s">
        <v>61</v>
      </c>
      <c r="F1" s="12"/>
      <c r="G1" s="12"/>
      <c r="H1" s="13" t="s">
        <v>62</v>
      </c>
      <c r="I1" s="14"/>
      <c r="J1" s="15"/>
      <c r="K1" s="13" t="s">
        <v>63</v>
      </c>
      <c r="L1" s="14"/>
      <c r="M1" s="15"/>
      <c r="N1" s="13" t="s">
        <v>64</v>
      </c>
      <c r="O1" s="14"/>
      <c r="P1" s="14"/>
      <c r="Q1" s="12" t="s">
        <v>65</v>
      </c>
      <c r="R1" s="12"/>
      <c r="S1" s="12"/>
      <c r="T1" s="12"/>
      <c r="U1" s="12"/>
      <c r="V1" s="13" t="s">
        <v>66</v>
      </c>
      <c r="W1" s="14"/>
      <c r="X1" s="14"/>
      <c r="Y1" s="14"/>
      <c r="Z1" s="14"/>
      <c r="AA1" s="15"/>
      <c r="AB1" s="13" t="s">
        <v>67</v>
      </c>
      <c r="AC1" s="14"/>
      <c r="AD1" s="14"/>
      <c r="AE1" s="15"/>
      <c r="AF1" s="13" t="s">
        <v>68</v>
      </c>
      <c r="AG1" s="15"/>
      <c r="AH1" s="13" t="s">
        <v>69</v>
      </c>
      <c r="AI1" s="15"/>
      <c r="AJ1" s="13" t="s">
        <v>70</v>
      </c>
      <c r="AK1" s="15"/>
      <c r="AL1" s="13" t="s">
        <v>71</v>
      </c>
      <c r="AM1" s="15"/>
      <c r="AN1" s="13" t="s">
        <v>72</v>
      </c>
      <c r="AO1" s="15"/>
      <c r="AP1" s="12" t="s">
        <v>73</v>
      </c>
      <c r="AQ1" s="12"/>
      <c r="AR1" s="12"/>
      <c r="AS1" s="12"/>
      <c r="AT1" s="12" t="s">
        <v>74</v>
      </c>
      <c r="AU1" s="12"/>
      <c r="AV1" s="12"/>
      <c r="AW1" s="12"/>
      <c r="AX1" s="12"/>
      <c r="AY1" s="12"/>
      <c r="AZ1" s="12" t="s">
        <v>75</v>
      </c>
      <c r="BA1" s="12"/>
      <c r="BB1" s="12"/>
      <c r="BC1" s="12"/>
      <c r="BD1" s="12"/>
      <c r="BE1" s="12"/>
      <c r="BF1" s="12" t="s">
        <v>76</v>
      </c>
      <c r="BG1" s="12"/>
      <c r="BH1" s="8" t="s">
        <v>77</v>
      </c>
      <c r="BI1" s="2" t="s">
        <v>78</v>
      </c>
      <c r="BJ1" s="9" t="s">
        <v>81</v>
      </c>
      <c r="BL1" s="16" t="s">
        <v>83</v>
      </c>
    </row>
    <row r="2" spans="1:64" x14ac:dyDescent="0.25">
      <c r="A2" s="5" t="s">
        <v>79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3" t="s">
        <v>59</v>
      </c>
      <c r="BJ2" s="1"/>
    </row>
    <row r="3" spans="1:64" x14ac:dyDescent="0.25">
      <c r="A3" s="4">
        <v>62108496</v>
      </c>
      <c r="B3" s="4">
        <v>0</v>
      </c>
      <c r="C3" s="4">
        <v>0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1</v>
      </c>
      <c r="N3" s="4">
        <v>1</v>
      </c>
      <c r="O3" s="4"/>
      <c r="P3" s="4">
        <v>0</v>
      </c>
      <c r="Q3" s="4">
        <v>1</v>
      </c>
      <c r="R3" s="4">
        <v>0</v>
      </c>
      <c r="S3" s="4"/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</v>
      </c>
      <c r="AH3" s="4">
        <v>0</v>
      </c>
      <c r="AI3" s="4">
        <v>1</v>
      </c>
      <c r="AJ3" s="4">
        <v>0</v>
      </c>
      <c r="AK3" s="4">
        <v>0</v>
      </c>
      <c r="AL3" s="4">
        <v>0</v>
      </c>
      <c r="AM3" s="10">
        <v>0</v>
      </c>
      <c r="AN3" s="4">
        <v>0</v>
      </c>
      <c r="AO3" s="10">
        <v>0</v>
      </c>
      <c r="AP3" s="4">
        <v>0</v>
      </c>
      <c r="AQ3" s="4">
        <v>0</v>
      </c>
      <c r="AR3" s="4">
        <v>0</v>
      </c>
      <c r="AS3" s="4">
        <v>1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1</v>
      </c>
      <c r="BH3" s="4">
        <v>1</v>
      </c>
      <c r="BI3" s="1">
        <v>0</v>
      </c>
      <c r="BJ3" s="1">
        <f>IF(B3=1,33.31,0)+IF(C3=1,33.31,0)+IF(D3=1,33.31,0)+IF(E3=1,32.02,0)+IF(F3=1,32.02,0)+IF(G3=1,32.02,0)+IF(H3=1,33.01,0)+IF(I3=1,33.01,0)+IF(J3=1,33.01,0)+IF(K3=1,34.04,0)+IF(L3=1,34.04,0)+IF(M3=1,34.04,0)+IF(N3=1,55.05,0)+IF(O3=1,55.05,0)+IF(P3=1,55.05,0)+IF(Q3=1,66.23,0)+IF(R3=1,66.23,0)+IF(S3=1,66.23,0)+IF(T3=1,66.23,0)+IF(U3=1,66.23,0)+IF(V3=1,78.16,0)+IF(W3=1,78.16,0)+IF(X3=1,78.16,0)+IF(Y3=1,78.16,0)+IF(Z3=1,78.16,0)+IF(AA3=1,78.16,0)+IF(AB3=1,40.06,0)+IF(AC3=1,40.06,0)+IF(AD3=1,40.06,0)+IF(AE3=1,40.06,0)+IF(AF3=1,28,0)+IF(AG3=1,28,0)+IF(AH3=1,33.02,0)+IF(AI3=1,33.02,0)+IF(AJ3=1,35.71,0)+IF(AK3=1,35.71,0)+IF(AL3=1,34.06,0)+IF(AM3=1,34.06,0)+IF(AN3=1,28.05,0)+IF(AO3=1,28.05,0)+IF(AP3=1,33.02,0)+IF(AQ3=1,33.02,0)+IF(AR3=1,33.02,0)+IF(AS3=1,33.02,0)+IF(AU3=1,72.01,0)+IF(AV3=1,72.01,0)+IF(AW3=1,72.01,0)+IF(AX3=1,72.01,0)+IF(AY3=1,72.01,0)+IF(AZ3=1,72.01,0)+IF(AV3=1,72.01,0)+IF(BA3=1,72.01,0)+IF(BB3=1,72.01,0)+IF(BC3=1,72.01,0)+IF(BD3=1,72.01,0)+IF(BE3=1,72.01,0)+IF(BF3=1,40.87,0)+IF(BG3=1,40.87,0)+IF(BH3=1,40.87,0)+IF(BI3=1,40.87,0)</f>
        <v>581.02</v>
      </c>
    </row>
    <row r="4" spans="1:64" x14ac:dyDescent="0.25">
      <c r="A4" s="4">
        <v>61959355</v>
      </c>
      <c r="B4" s="4"/>
      <c r="C4" s="4">
        <v>1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>
        <v>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v>1</v>
      </c>
      <c r="AJ4" s="4"/>
      <c r="AK4" s="4"/>
      <c r="AL4" s="4"/>
      <c r="AM4" s="4"/>
      <c r="AN4" s="4">
        <v>1</v>
      </c>
      <c r="AO4" s="4"/>
      <c r="AP4" s="4"/>
      <c r="AQ4" s="4"/>
      <c r="AR4" s="4">
        <v>1</v>
      </c>
      <c r="AS4" s="4">
        <v>1</v>
      </c>
      <c r="AT4" s="4"/>
      <c r="AU4" s="4">
        <v>1</v>
      </c>
      <c r="AV4" s="4">
        <v>1</v>
      </c>
      <c r="AW4" s="4"/>
      <c r="AX4" s="4">
        <v>1</v>
      </c>
      <c r="AY4" s="4"/>
      <c r="AZ4" s="4"/>
      <c r="BA4" s="4">
        <v>1</v>
      </c>
      <c r="BB4" s="4"/>
      <c r="BC4" s="4">
        <v>1</v>
      </c>
      <c r="BD4" s="4"/>
      <c r="BE4" s="4"/>
      <c r="BF4" s="4"/>
      <c r="BG4" s="4">
        <v>1</v>
      </c>
      <c r="BH4" s="4">
        <v>1</v>
      </c>
      <c r="BI4" s="1"/>
      <c r="BJ4" s="1">
        <f t="shared" ref="BJ4:BJ50" si="0">IF(B4=1,33.31,0)+IF(C4=1,33.31,0)+IF(D4=1,33.31,0)+IF(E4=1,32.02,0)+IF(F4=1,32.02,0)+IF(G4=1,32.02,0)+IF(H4=1,33.01,0)+IF(I4=1,33.01,0)+IF(J4=1,33.01,0)+IF(K4=1,34.04,0)+IF(L4=1,34.04,0)+IF(M4=1,34.04,0)+IF(N4=1,55.05,0)+IF(O4=1,55.05,0)+IF(P4=1,55.05,0)+IF(Q4=1,66.23,0)+IF(R4=1,66.23,0)+IF(S4=1,66.23,0)+IF(T4=1,66.23,0)+IF(U4=1,66.23,0)+IF(V4=1,78.16,0)+IF(W4=1,78.16,0)+IF(X4=1,78.16,0)+IF(Y4=1,78.16,0)+IF(Z4=1,78.16,0)+IF(AA4=1,78.16,0)+IF(AB4=1,40.06,0)+IF(AC4=1,40.06,0)+IF(AD4=1,40.06,0)+IF(AE4=1,40.06,0)+IF(AF4=1,28,0)+IF(AG4=1,28,0)+IF(AH4=1,33.02,0)+IF(AI4=1,33.02,0)+IF(AJ4=1,35.71,0)+IF(AK4=1,35.71,0)+IF(AL4=1,34.06,0)+IF(AM4=1,34.06,0)+IF(AN4=1,28.05,0)+IF(AO4=1,28.05,0)+IF(AP4=1,33.02,0)+IF(AQ4=1,33.02,0)+IF(AR4=1,33.02,0)+IF(AS4=1,33.02,0)+IF(AU4=1,72.01,0)+IF(AV4=1,72.01,0)+IF(AW4=1,72.01,0)+IF(AX4=1,72.01,0)+IF(AY4=1,72.01,0)+IF(AZ4=1,72.01,0)+IF(AV4=1,72.01,0)+IF(BA4=1,72.01,0)+IF(BB4=1,72.01,0)+IF(BC4=1,72.01,0)+IF(BD4=1,72.01,0)+IF(BE4=1,72.01,0)+IF(BF4=1,40.87,0)+IF(BG4=1,40.87,0)+IF(BH4=1,40.87,0)+IF(BI4=1,40.87,0)</f>
        <v>741.57</v>
      </c>
    </row>
    <row r="5" spans="1:64" x14ac:dyDescent="0.25">
      <c r="A5" s="4">
        <v>61989491</v>
      </c>
      <c r="B5" s="4">
        <v>1</v>
      </c>
      <c r="C5" s="4"/>
      <c r="D5" s="4"/>
      <c r="E5" s="4"/>
      <c r="F5" s="4"/>
      <c r="G5" s="4"/>
      <c r="H5" s="4"/>
      <c r="I5" s="4">
        <v>1</v>
      </c>
      <c r="J5" s="4"/>
      <c r="K5" s="4">
        <v>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1</v>
      </c>
      <c r="AD5" s="4">
        <v>1</v>
      </c>
      <c r="AE5" s="4"/>
      <c r="AF5" s="4"/>
      <c r="AG5" s="4"/>
      <c r="AH5" s="4">
        <v>1</v>
      </c>
      <c r="AI5" s="4">
        <v>1</v>
      </c>
      <c r="AJ5" s="4">
        <v>1</v>
      </c>
      <c r="AK5" s="4">
        <v>1</v>
      </c>
      <c r="AL5" s="4"/>
      <c r="AM5" s="4"/>
      <c r="AN5" s="4"/>
      <c r="AO5" s="4"/>
      <c r="AP5" s="4"/>
      <c r="AQ5" s="4"/>
      <c r="AR5" s="4"/>
      <c r="AS5" s="4">
        <v>1</v>
      </c>
      <c r="AT5" s="4"/>
      <c r="AU5" s="4"/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/>
      <c r="BB5" s="4"/>
      <c r="BC5" s="4"/>
      <c r="BD5" s="4"/>
      <c r="BE5" s="4"/>
      <c r="BF5" s="4"/>
      <c r="BG5" s="4">
        <v>1</v>
      </c>
      <c r="BH5" s="4"/>
      <c r="BI5" s="1"/>
      <c r="BJ5" s="1">
        <f t="shared" si="0"/>
        <v>823.89</v>
      </c>
    </row>
    <row r="6" spans="1:64" x14ac:dyDescent="0.25">
      <c r="A6" s="4">
        <v>61529591</v>
      </c>
      <c r="B6" s="4">
        <v>1</v>
      </c>
      <c r="C6" s="4">
        <v>1</v>
      </c>
      <c r="D6" s="4">
        <v>1</v>
      </c>
      <c r="E6" s="4"/>
      <c r="F6" s="4"/>
      <c r="G6" s="4">
        <v>1</v>
      </c>
      <c r="H6" s="4"/>
      <c r="I6" s="4"/>
      <c r="J6" s="4">
        <v>1</v>
      </c>
      <c r="K6" s="4"/>
      <c r="L6" s="4">
        <v>1</v>
      </c>
      <c r="M6" s="4">
        <v>1</v>
      </c>
      <c r="N6" s="4"/>
      <c r="O6" s="4"/>
      <c r="P6" s="4"/>
      <c r="Q6" s="4"/>
      <c r="R6" s="4"/>
      <c r="S6" s="4"/>
      <c r="T6" s="4">
        <v>1</v>
      </c>
      <c r="U6" s="4">
        <v>1</v>
      </c>
      <c r="V6" s="4"/>
      <c r="W6" s="4"/>
      <c r="X6" s="4">
        <v>1</v>
      </c>
      <c r="Y6" s="4">
        <v>1</v>
      </c>
      <c r="Z6" s="4"/>
      <c r="AA6" s="4"/>
      <c r="AB6" s="4">
        <v>1</v>
      </c>
      <c r="AC6" s="4">
        <v>1</v>
      </c>
      <c r="AD6" s="4">
        <v>1</v>
      </c>
      <c r="AE6" s="4">
        <v>1</v>
      </c>
      <c r="AF6" s="4"/>
      <c r="AG6" s="4"/>
      <c r="AH6" s="4"/>
      <c r="AI6" s="4">
        <v>1</v>
      </c>
      <c r="AJ6" s="4">
        <v>1</v>
      </c>
      <c r="AK6" s="4"/>
      <c r="AL6" s="4">
        <v>1</v>
      </c>
      <c r="AM6" s="4"/>
      <c r="AN6" s="4">
        <v>1</v>
      </c>
      <c r="AO6" s="4">
        <v>1</v>
      </c>
      <c r="AP6" s="4"/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/>
      <c r="BC6" s="4">
        <v>1</v>
      </c>
      <c r="BD6" s="4">
        <v>1</v>
      </c>
      <c r="BE6" s="4">
        <v>1</v>
      </c>
      <c r="BF6" s="4"/>
      <c r="BG6" s="4"/>
      <c r="BH6" s="4">
        <v>1</v>
      </c>
      <c r="BI6" s="1"/>
      <c r="BJ6" s="1">
        <f t="shared" si="0"/>
        <v>1772.9899999999993</v>
      </c>
    </row>
    <row r="7" spans="1:64" x14ac:dyDescent="0.25">
      <c r="A7" s="4">
        <v>60286433</v>
      </c>
      <c r="B7" s="4"/>
      <c r="C7" s="4"/>
      <c r="D7" s="4"/>
      <c r="E7" s="4">
        <v>1</v>
      </c>
      <c r="F7" s="4"/>
      <c r="G7" s="4"/>
      <c r="H7" s="4"/>
      <c r="I7" s="4">
        <v>1</v>
      </c>
      <c r="J7" s="4"/>
      <c r="K7" s="4"/>
      <c r="L7" s="4">
        <v>1</v>
      </c>
      <c r="M7" s="4"/>
      <c r="N7" s="4"/>
      <c r="O7" s="4"/>
      <c r="P7" s="4">
        <v>1</v>
      </c>
      <c r="Q7" s="4"/>
      <c r="R7" s="4"/>
      <c r="S7" s="4"/>
      <c r="T7" s="4"/>
      <c r="U7" s="4"/>
      <c r="V7" s="4"/>
      <c r="W7" s="4"/>
      <c r="X7" s="4"/>
      <c r="Y7" s="4"/>
      <c r="Z7" s="4"/>
      <c r="AA7" s="4">
        <v>1</v>
      </c>
      <c r="AB7" s="4"/>
      <c r="AC7" s="4">
        <v>1</v>
      </c>
      <c r="AD7" s="4"/>
      <c r="AE7" s="4"/>
      <c r="AF7" s="4"/>
      <c r="AG7" s="4">
        <v>1</v>
      </c>
      <c r="AH7" s="4">
        <v>1</v>
      </c>
      <c r="AI7" s="4"/>
      <c r="AJ7" s="4">
        <v>1</v>
      </c>
      <c r="AK7" s="4"/>
      <c r="AL7" s="4"/>
      <c r="AM7" s="4"/>
      <c r="AN7" s="4">
        <v>1</v>
      </c>
      <c r="AO7" s="4"/>
      <c r="AP7" s="4"/>
      <c r="AQ7" s="4"/>
      <c r="AR7" s="4">
        <v>1</v>
      </c>
      <c r="AS7" s="4"/>
      <c r="AT7" s="4"/>
      <c r="AU7" s="4"/>
      <c r="AV7" s="4">
        <v>1</v>
      </c>
      <c r="AW7" s="4">
        <v>1</v>
      </c>
      <c r="AX7" s="4"/>
      <c r="AY7" s="4"/>
      <c r="AZ7" s="4"/>
      <c r="BA7" s="4">
        <v>1</v>
      </c>
      <c r="BB7" s="4"/>
      <c r="BC7" s="4"/>
      <c r="BD7" s="4"/>
      <c r="BE7" s="4">
        <v>1</v>
      </c>
      <c r="BF7" s="4"/>
      <c r="BG7" s="4"/>
      <c r="BH7" s="4">
        <v>1</v>
      </c>
      <c r="BI7" s="1"/>
      <c r="BJ7" s="1">
        <f t="shared" si="0"/>
        <v>831.06</v>
      </c>
    </row>
    <row r="8" spans="1:64" x14ac:dyDescent="0.25">
      <c r="A8" s="4">
        <v>60271383</v>
      </c>
      <c r="B8" s="4"/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>
        <v>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1</v>
      </c>
      <c r="AC8" s="4">
        <v>1</v>
      </c>
      <c r="AD8" s="4"/>
      <c r="AE8" s="4"/>
      <c r="AF8" s="4"/>
      <c r="AG8" s="4"/>
      <c r="AH8" s="4">
        <v>1</v>
      </c>
      <c r="AI8" s="4"/>
      <c r="AJ8" s="4"/>
      <c r="AK8" s="4"/>
      <c r="AL8" s="4"/>
      <c r="AM8" s="4">
        <v>1</v>
      </c>
      <c r="AN8" s="4"/>
      <c r="AO8" s="4">
        <v>1</v>
      </c>
      <c r="AP8" s="4">
        <v>1</v>
      </c>
      <c r="AQ8" s="4"/>
      <c r="AR8" s="4">
        <v>1</v>
      </c>
      <c r="AS8" s="4">
        <v>1</v>
      </c>
      <c r="AT8" s="4"/>
      <c r="AU8" s="4">
        <v>1</v>
      </c>
      <c r="AV8" s="4"/>
      <c r="AW8" s="4">
        <v>1</v>
      </c>
      <c r="AX8" s="4"/>
      <c r="AY8" s="4"/>
      <c r="AZ8" s="4"/>
      <c r="BA8" s="4"/>
      <c r="BB8" s="4"/>
      <c r="BC8" s="4"/>
      <c r="BD8" s="4"/>
      <c r="BE8" s="4"/>
      <c r="BF8" s="4"/>
      <c r="BG8" s="4">
        <v>1</v>
      </c>
      <c r="BH8" s="4"/>
      <c r="BI8" s="1">
        <v>1</v>
      </c>
      <c r="BJ8" s="1">
        <f t="shared" si="0"/>
        <v>567.41999999999996</v>
      </c>
    </row>
    <row r="9" spans="1:64" x14ac:dyDescent="0.25">
      <c r="A9" s="4">
        <v>61609057</v>
      </c>
      <c r="B9" s="4"/>
      <c r="C9" s="4"/>
      <c r="D9" s="4"/>
      <c r="E9" s="4">
        <v>1</v>
      </c>
      <c r="F9" s="4"/>
      <c r="G9" s="4"/>
      <c r="H9" s="4"/>
      <c r="I9" s="4">
        <v>1</v>
      </c>
      <c r="J9" s="4">
        <v>1</v>
      </c>
      <c r="K9" s="4"/>
      <c r="L9" s="4">
        <v>1</v>
      </c>
      <c r="M9" s="4">
        <v>1</v>
      </c>
      <c r="N9" s="4">
        <v>1</v>
      </c>
      <c r="O9" s="4"/>
      <c r="P9" s="4"/>
      <c r="Q9" s="4"/>
      <c r="R9" s="4"/>
      <c r="S9" s="4"/>
      <c r="T9" s="4"/>
      <c r="U9" s="4">
        <v>1</v>
      </c>
      <c r="V9" s="4"/>
      <c r="W9" s="4"/>
      <c r="X9" s="4">
        <v>1</v>
      </c>
      <c r="Y9" s="4"/>
      <c r="Z9" s="4"/>
      <c r="AA9" s="4"/>
      <c r="AB9" s="4"/>
      <c r="AC9" s="4">
        <v>1</v>
      </c>
      <c r="AD9" s="4"/>
      <c r="AE9" s="4"/>
      <c r="AF9" s="4"/>
      <c r="AG9" s="4"/>
      <c r="AH9" s="4">
        <v>1</v>
      </c>
      <c r="AI9" s="4"/>
      <c r="AJ9" s="4"/>
      <c r="AK9" s="4"/>
      <c r="AL9" s="4"/>
      <c r="AM9" s="4"/>
      <c r="AN9" s="4"/>
      <c r="AO9" s="4">
        <v>1</v>
      </c>
      <c r="AP9" s="4">
        <v>1</v>
      </c>
      <c r="AQ9" s="4">
        <v>1</v>
      </c>
      <c r="AR9" s="4">
        <v>1</v>
      </c>
      <c r="AS9" s="4"/>
      <c r="AT9" s="4">
        <v>1</v>
      </c>
      <c r="AU9" s="4">
        <v>1</v>
      </c>
      <c r="AV9" s="4"/>
      <c r="AW9" s="4"/>
      <c r="AX9" s="4">
        <v>1</v>
      </c>
      <c r="AY9" s="4"/>
      <c r="AZ9" s="4"/>
      <c r="BA9" s="4">
        <v>1</v>
      </c>
      <c r="BB9" s="4"/>
      <c r="BC9" s="4"/>
      <c r="BD9" s="4"/>
      <c r="BE9" s="4">
        <v>1</v>
      </c>
      <c r="BF9" s="4"/>
      <c r="BG9" s="4"/>
      <c r="BH9" s="4">
        <v>1</v>
      </c>
      <c r="BI9" s="1"/>
      <c r="BJ9" s="1">
        <f t="shared" si="0"/>
        <v>894.65999999999985</v>
      </c>
    </row>
    <row r="10" spans="1:6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"/>
      <c r="BJ10" s="1">
        <f t="shared" si="0"/>
        <v>0</v>
      </c>
    </row>
    <row r="11" spans="1:6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"/>
      <c r="BJ11" s="1">
        <f t="shared" si="0"/>
        <v>0</v>
      </c>
    </row>
    <row r="12" spans="1:6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/>
      <c r="BJ12" s="1">
        <f t="shared" si="0"/>
        <v>0</v>
      </c>
    </row>
    <row r="13" spans="1:6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1"/>
      <c r="BJ13" s="1">
        <f t="shared" si="0"/>
        <v>0</v>
      </c>
    </row>
    <row r="14" spans="1:6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1"/>
      <c r="BJ14" s="1">
        <f t="shared" si="0"/>
        <v>0</v>
      </c>
    </row>
    <row r="15" spans="1:6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"/>
      <c r="BJ15" s="1">
        <f t="shared" si="0"/>
        <v>0</v>
      </c>
    </row>
    <row r="16" spans="1:6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>
        <f t="shared" si="0"/>
        <v>0</v>
      </c>
    </row>
    <row r="17" spans="1:6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1"/>
      <c r="BJ17" s="1">
        <f t="shared" si="0"/>
        <v>0</v>
      </c>
    </row>
    <row r="18" spans="1:6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"/>
      <c r="BJ18" s="1">
        <f t="shared" si="0"/>
        <v>0</v>
      </c>
    </row>
    <row r="19" spans="1:6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1"/>
      <c r="BJ19" s="1">
        <f t="shared" si="0"/>
        <v>0</v>
      </c>
    </row>
    <row r="20" spans="1:6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"/>
      <c r="BJ20" s="1">
        <f t="shared" si="0"/>
        <v>0</v>
      </c>
    </row>
    <row r="21" spans="1:6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"/>
      <c r="BJ21" s="1">
        <f t="shared" si="0"/>
        <v>0</v>
      </c>
    </row>
    <row r="22" spans="1:6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1"/>
      <c r="BJ22" s="1">
        <f t="shared" si="0"/>
        <v>0</v>
      </c>
    </row>
    <row r="23" spans="1:6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1"/>
      <c r="BJ23" s="1">
        <f t="shared" si="0"/>
        <v>0</v>
      </c>
    </row>
    <row r="24" spans="1:6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1"/>
      <c r="BJ24" s="1">
        <f t="shared" si="0"/>
        <v>0</v>
      </c>
    </row>
    <row r="25" spans="1:6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1"/>
      <c r="BJ25" s="1">
        <f t="shared" si="0"/>
        <v>0</v>
      </c>
    </row>
    <row r="26" spans="1:6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1"/>
      <c r="BJ26" s="1">
        <f t="shared" si="0"/>
        <v>0</v>
      </c>
    </row>
    <row r="27" spans="1:6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"/>
      <c r="BJ27" s="1">
        <f t="shared" si="0"/>
        <v>0</v>
      </c>
    </row>
    <row r="28" spans="1:6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"/>
      <c r="BJ28" s="1">
        <f t="shared" si="0"/>
        <v>0</v>
      </c>
    </row>
    <row r="29" spans="1:6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1"/>
      <c r="BJ29" s="1">
        <f t="shared" si="0"/>
        <v>0</v>
      </c>
    </row>
    <row r="30" spans="1:6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1"/>
      <c r="BJ30" s="1">
        <f t="shared" si="0"/>
        <v>0</v>
      </c>
    </row>
    <row r="31" spans="1:6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>
        <f t="shared" si="0"/>
        <v>0</v>
      </c>
    </row>
    <row r="32" spans="1:6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1"/>
      <c r="BJ32" s="1">
        <f t="shared" si="0"/>
        <v>0</v>
      </c>
    </row>
    <row r="33" spans="1:6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1"/>
      <c r="BJ33" s="1">
        <f t="shared" si="0"/>
        <v>0</v>
      </c>
    </row>
    <row r="34" spans="1:6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1"/>
      <c r="BJ34" s="1">
        <f t="shared" si="0"/>
        <v>0</v>
      </c>
    </row>
    <row r="35" spans="1:6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1"/>
      <c r="BJ35" s="1">
        <f t="shared" si="0"/>
        <v>0</v>
      </c>
    </row>
    <row r="36" spans="1:6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"/>
      <c r="BJ36" s="1">
        <f t="shared" si="0"/>
        <v>0</v>
      </c>
    </row>
    <row r="37" spans="1:6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/>
      <c r="BJ37" s="1">
        <f t="shared" si="0"/>
        <v>0</v>
      </c>
    </row>
    <row r="38" spans="1:6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/>
      <c r="BJ38" s="1">
        <f t="shared" si="0"/>
        <v>0</v>
      </c>
    </row>
    <row r="39" spans="1:6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"/>
      <c r="BJ39" s="1">
        <f>IF(B39=1,33.31,0)+IF(C39=1,33.31,0)+IF(D39=1,33.31,0)+IF(E39=1,32.02,0)+IF(F39=1,32.02,0)+IF(G39=1,32.02,0)+IF(H39=1,33.01,0)+IF(I39=1,33.01,0)+IF(J39=1,33.01,0)+IF(K39=1,34.04,0)+IF(L39=1,34.04,0)+IF(M39=1,34.04,0)+IF(N39=1,55.05,0)+IF(O39=1,55.05,0)+IF(P39=1,55.05,0)+IF(Q39=1,66.23,0)+IF(R39=1,66.23,0)+IF(S39=1,66.23,0)+IF(T39=1,66.23,0)+IF(U39=1,66.23,0)+IF(V39=1,78.16,0)+IF(W39=1,78.16,0)+IF(X39=1,78.16,0)+IF(Y39=1,78.16,0)+IF(Z39=1,78.16,0)+IF(AA39=1,78.16,0)+IF(AB39=1,40.06,0)+IF(AC39=1,40.06,0)+IF(AD39=1,40.06,0)+IF(AE39=1,40.06,0)+IF(AF39=1,28,0)+IF(AG39=1,28,0)+IF(AH39=1,33.02,0)+IF(AI39=1,33.02,0)+IF(AJ39=1,35.71,0)+IF(AK39=1,35.71,0)+IF(AL39=1,34.06,0)+IF(AM39=1,34.06,0)+IF(AN39=1,28.05,0)+IF(AO39=1,28.05,0)+IF(AP39=1,33.02,0)+IF(AQ39=1,33.02,0)+IF(AR39=1,33.02,0)+IF(AS39=1,33.02,0)+IF(AU39=1,72.01,0)+IF(AV39=1,72.01,0)+IF(AW39=1,72.01,0)+IF(AX39=1,72.01,0)+IF(AY39=1,72.01,0)+IF(AZ39=1,72.01,0)+IF(AV39=1,72.01,0)+IF(BA39=1,72.01,0)+IF(BB39=1,72.01,0)+IF(BC39=1,72.01,0)+IF(BD39=1,72.01,0)+IF(BE39=1,72.01,0)+IF(BF39=1,40.87,0)+IF(BG39=1,40.87,0)+IF(BH39=1,40.87,0)+IF(BI39=1,40.87,0)</f>
        <v>0</v>
      </c>
    </row>
    <row r="40" spans="1:6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/>
      <c r="BJ40" s="1">
        <f t="shared" si="0"/>
        <v>0</v>
      </c>
    </row>
    <row r="41" spans="1:6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1"/>
      <c r="BJ41" s="1">
        <f t="shared" si="0"/>
        <v>0</v>
      </c>
    </row>
    <row r="42" spans="1:6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1"/>
      <c r="BJ42" s="1">
        <f t="shared" si="0"/>
        <v>0</v>
      </c>
    </row>
    <row r="43" spans="1:6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1"/>
      <c r="BJ43" s="1">
        <f t="shared" si="0"/>
        <v>0</v>
      </c>
    </row>
    <row r="44" spans="1:6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1"/>
      <c r="BJ44" s="1">
        <f t="shared" si="0"/>
        <v>0</v>
      </c>
    </row>
    <row r="45" spans="1:6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1"/>
      <c r="BJ45" s="1">
        <f t="shared" si="0"/>
        <v>0</v>
      </c>
    </row>
    <row r="46" spans="1:6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1"/>
      <c r="BJ46" s="1">
        <f t="shared" si="0"/>
        <v>0</v>
      </c>
    </row>
    <row r="47" spans="1:6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1"/>
      <c r="BJ47" s="1">
        <f t="shared" si="0"/>
        <v>0</v>
      </c>
    </row>
    <row r="48" spans="1:6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1"/>
      <c r="BJ48" s="1">
        <f t="shared" si="0"/>
        <v>0</v>
      </c>
    </row>
    <row r="49" spans="1:6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1">
        <f t="shared" si="0"/>
        <v>0</v>
      </c>
    </row>
    <row r="50" spans="1:6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1">
        <f t="shared" si="0"/>
        <v>0</v>
      </c>
    </row>
  </sheetData>
  <mergeCells count="17">
    <mergeCell ref="BF1:BG1"/>
    <mergeCell ref="H1:J1"/>
    <mergeCell ref="K1:M1"/>
    <mergeCell ref="N1:P1"/>
    <mergeCell ref="Q1:U1"/>
    <mergeCell ref="V1:AA1"/>
    <mergeCell ref="AB1:AE1"/>
    <mergeCell ref="AF1:AG1"/>
    <mergeCell ref="AH1:AI1"/>
    <mergeCell ref="AJ1:AK1"/>
    <mergeCell ref="AL1:AM1"/>
    <mergeCell ref="AN1:AO1"/>
    <mergeCell ref="AP1:AS1"/>
    <mergeCell ref="AT1:AY1"/>
    <mergeCell ref="AZ1:BE1"/>
    <mergeCell ref="E1:G1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E455-9B24-4AAB-B3D8-518771CC93A9}">
  <sheetPr codeName="Hoja2"/>
  <dimension ref="A1:BJ50"/>
  <sheetViews>
    <sheetView topLeftCell="A11" workbookViewId="0">
      <selection activeCell="BJ3" sqref="BJ3:BJ29"/>
    </sheetView>
  </sheetViews>
  <sheetFormatPr baseColWidth="10" defaultRowHeight="15" x14ac:dyDescent="0.25"/>
  <cols>
    <col min="2" max="61" width="0" hidden="1" customWidth="1"/>
  </cols>
  <sheetData>
    <row r="1" spans="1:62" x14ac:dyDescent="0.25">
      <c r="A1" s="4"/>
      <c r="B1" s="12" t="s">
        <v>60</v>
      </c>
      <c r="C1" s="12"/>
      <c r="D1" s="12"/>
      <c r="E1" s="12" t="s">
        <v>61</v>
      </c>
      <c r="F1" s="12"/>
      <c r="G1" s="12"/>
      <c r="H1" s="12" t="s">
        <v>62</v>
      </c>
      <c r="I1" s="12"/>
      <c r="J1" s="12" t="s">
        <v>63</v>
      </c>
      <c r="K1" s="12"/>
      <c r="L1" s="12" t="s">
        <v>64</v>
      </c>
      <c r="M1" s="12"/>
      <c r="N1" s="12" t="s">
        <v>65</v>
      </c>
      <c r="O1" s="12"/>
      <c r="P1" s="12" t="s">
        <v>66</v>
      </c>
      <c r="Q1" s="12"/>
      <c r="R1" s="12" t="s">
        <v>67</v>
      </c>
      <c r="S1" s="12"/>
      <c r="T1" s="12"/>
      <c r="U1" s="12"/>
      <c r="V1" s="12" t="s">
        <v>68</v>
      </c>
      <c r="W1" s="12"/>
      <c r="X1" s="12"/>
      <c r="Y1" s="12"/>
      <c r="Z1" s="12" t="s">
        <v>69</v>
      </c>
      <c r="AA1" s="12"/>
      <c r="AB1" s="12"/>
      <c r="AC1" s="12"/>
      <c r="AD1" s="12" t="s">
        <v>70</v>
      </c>
      <c r="AE1" s="12"/>
      <c r="AF1" s="12"/>
      <c r="AG1" s="12"/>
      <c r="AH1" s="12" t="s">
        <v>71</v>
      </c>
      <c r="AI1" s="12"/>
      <c r="AJ1" s="12"/>
      <c r="AK1" s="12"/>
      <c r="AL1" s="12" t="s">
        <v>72</v>
      </c>
      <c r="AM1" s="12"/>
      <c r="AN1" s="12"/>
      <c r="AO1" s="12"/>
      <c r="AP1" s="12" t="s">
        <v>73</v>
      </c>
      <c r="AQ1" s="12"/>
      <c r="AR1" s="12"/>
      <c r="AS1" s="12"/>
      <c r="AT1" s="12" t="s">
        <v>74</v>
      </c>
      <c r="AU1" s="12"/>
      <c r="AV1" s="12"/>
      <c r="AW1" s="12"/>
      <c r="AX1" s="12"/>
      <c r="AY1" s="12"/>
      <c r="AZ1" s="12" t="s">
        <v>75</v>
      </c>
      <c r="BA1" s="12"/>
      <c r="BB1" s="12"/>
      <c r="BC1" s="12"/>
      <c r="BD1" s="12"/>
      <c r="BE1" s="12"/>
      <c r="BF1" s="12" t="s">
        <v>76</v>
      </c>
      <c r="BG1" s="12"/>
      <c r="BH1" s="8" t="s">
        <v>77</v>
      </c>
      <c r="BI1" s="2" t="s">
        <v>78</v>
      </c>
      <c r="BJ1" s="11" t="s">
        <v>82</v>
      </c>
    </row>
    <row r="2" spans="1:62" x14ac:dyDescent="0.25">
      <c r="A2" s="5" t="s">
        <v>79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3" t="s">
        <v>59</v>
      </c>
      <c r="BJ2" s="1"/>
    </row>
    <row r="3" spans="1:62" x14ac:dyDescent="0.25">
      <c r="A3" s="4">
        <v>60313945</v>
      </c>
      <c r="B3" s="4">
        <v>1</v>
      </c>
      <c r="C3" s="4">
        <v>0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4">
        <v>1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1</v>
      </c>
      <c r="P3" s="4">
        <v>1</v>
      </c>
      <c r="Q3" s="4">
        <v>1</v>
      </c>
      <c r="R3" s="4">
        <v>1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0</v>
      </c>
      <c r="AD3" s="4">
        <v>0</v>
      </c>
      <c r="AE3" s="4">
        <v>1</v>
      </c>
      <c r="AF3" s="4">
        <v>0</v>
      </c>
      <c r="AG3" s="4">
        <v>0</v>
      </c>
      <c r="AH3" s="4">
        <v>1</v>
      </c>
      <c r="AI3" s="4">
        <v>1</v>
      </c>
      <c r="AJ3" s="4">
        <v>0</v>
      </c>
      <c r="AK3" s="4">
        <v>0</v>
      </c>
      <c r="AL3" s="4">
        <v>0</v>
      </c>
      <c r="AM3" s="4">
        <v>1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1</v>
      </c>
      <c r="BH3" s="4">
        <v>0</v>
      </c>
      <c r="BI3" s="1">
        <v>0</v>
      </c>
      <c r="BJ3" s="1">
        <f>IF(B3=1,33.31,0)+IF(C3=1,33.31,0)+IF(D3=1,33.31,0)+IF(E3=1,31.85,0)+IF(F3=1,31.85,0)+IF(G3=1,31.85,0)+IF(H3=1,31.2,0)+IF(I3=1,31.2,0)+IF(J3=1,31.2,0)+IF(K3=1,31.2,0)+IF(L3=1,23.02,0)+IF(M3=1,23.02,0)+IF(N3=1,24.04,0)+IF(O3=1,24.04,0)+IF(P3=1,25.04,0)+IF(Q3=1,25.04,0)+IF(R3=1,48.07,0)+IF(S3=1,48.07,0)+IF(T3=1,48.07,0)+IF(U3=1,48.07,0)+IF(V3=1,58.05,0)+IF(W3=1,58.05,0)+IF(X3=1,58.05,0)+IF(Y3=1,58.05,0)+IF(Z3=1,49.07,0)+IF(AA3=1,49.07,0)+IF(AB3=1,49.07,0)+IF(AC3=1,49.07,0)+IF(AD3=1,65.76,0)+IF(AE3=1,65.76,0)+IF(AF3=1,65.76,0)+IF(AG3=1,65.76,0)+IF(AH3=1,46.07,0)+IF(AI3=1,46.07,0)+IF(AJ3=1,46.07,0)+IF(AK3=1,46.07,0)+IF(AL3=1,43,0)+IF(AM3=1,43,0)+IF(AN3=1,43,0)+IF(AO3=1,43,0)+IF(AP3=1,60.9,0)+IF(AQ3=1,60.9,0)+IF(AR3=1,60.9,0)+IF(AS3=1,60.9,0)+IF(AU3=1,72.01,0)+IF(AV3=1,72.01,0)+IF(AW3=1,72.01,0)+IF(AX3=1,72.01,0)+IF(AY3=1,72.01,0)+IF(AZ3=1,72.01,0)+IF(AV3=1,72.01,0)+IF(BA3=1,72.01,0)+IF(BB3=1,72.01,0)+IF(BC3=1,72.01,0)+IF(BD3=1,72.01,0)+IF(BE3=1,72.01,0)+IF(BF3=1,40.87,0)+IF(BG3=1,40.87,0)+IF(BH3=1,40.87,0)+IF(BI3=1,40.87,0)+IF(AT3=1,24.24,0)</f>
        <v>1199.1600000000001</v>
      </c>
    </row>
    <row r="4" spans="1:62" x14ac:dyDescent="0.25">
      <c r="A4" s="4">
        <v>60619111</v>
      </c>
      <c r="B4" s="4"/>
      <c r="C4" s="4"/>
      <c r="D4" s="4">
        <v>1</v>
      </c>
      <c r="E4" s="4"/>
      <c r="F4" s="4">
        <v>1</v>
      </c>
      <c r="G4" s="4"/>
      <c r="H4" s="4">
        <v>1</v>
      </c>
      <c r="I4" s="4">
        <v>1</v>
      </c>
      <c r="J4" s="4"/>
      <c r="K4" s="4">
        <v>1</v>
      </c>
      <c r="L4" s="4">
        <v>1</v>
      </c>
      <c r="M4" s="4">
        <v>1</v>
      </c>
      <c r="N4" s="4"/>
      <c r="O4" s="4"/>
      <c r="P4" s="4"/>
      <c r="Q4" s="4">
        <v>1</v>
      </c>
      <c r="R4" s="4"/>
      <c r="S4" s="4"/>
      <c r="T4" s="4"/>
      <c r="U4" s="4">
        <v>1</v>
      </c>
      <c r="V4" s="4">
        <v>1</v>
      </c>
      <c r="W4" s="4">
        <v>1</v>
      </c>
      <c r="X4" s="4"/>
      <c r="Y4" s="4">
        <v>1</v>
      </c>
      <c r="Z4" s="4">
        <v>1</v>
      </c>
      <c r="AA4" s="4">
        <v>1</v>
      </c>
      <c r="AB4" s="4">
        <v>1</v>
      </c>
      <c r="AC4" s="4"/>
      <c r="AD4" s="4"/>
      <c r="AE4" s="4">
        <v>1</v>
      </c>
      <c r="AF4" s="4">
        <v>1</v>
      </c>
      <c r="AG4" s="4"/>
      <c r="AH4" s="4"/>
      <c r="AI4" s="4">
        <v>1</v>
      </c>
      <c r="AJ4" s="4"/>
      <c r="AK4" s="4"/>
      <c r="AL4" s="4">
        <v>1</v>
      </c>
      <c r="AM4" s="4">
        <v>1</v>
      </c>
      <c r="AN4" s="4">
        <v>1</v>
      </c>
      <c r="AO4" s="4"/>
      <c r="AP4" s="4"/>
      <c r="AQ4" s="4">
        <v>1</v>
      </c>
      <c r="AR4" s="4"/>
      <c r="AS4" s="4"/>
      <c r="AT4" s="4"/>
      <c r="AU4" s="4"/>
      <c r="AV4" s="4"/>
      <c r="AW4" s="4">
        <v>1</v>
      </c>
      <c r="AX4" s="4">
        <v>1</v>
      </c>
      <c r="AY4" s="4">
        <v>1</v>
      </c>
      <c r="AZ4" s="4">
        <v>1</v>
      </c>
      <c r="BA4" s="4"/>
      <c r="BB4" s="4"/>
      <c r="BC4" s="4"/>
      <c r="BD4" s="4"/>
      <c r="BE4" s="4">
        <v>1</v>
      </c>
      <c r="BF4" s="4">
        <v>1</v>
      </c>
      <c r="BG4" s="4"/>
      <c r="BH4" s="4">
        <v>1</v>
      </c>
      <c r="BI4" s="1"/>
      <c r="BJ4" s="1">
        <f t="shared" ref="BJ4:BJ50" si="0">IF(B4=1,33.31,0)+IF(C4=1,33.31,0)+IF(D4=1,33.31,0)+IF(E4=1,31.85,0)+IF(F4=1,31.85,0)+IF(G4=1,31.85,0)+IF(H4=1,31.2,0)+IF(I4=1,31.2,0)+IF(J4=1,31.2,0)+IF(K4=1,31.2,0)+IF(L4=1,23.02,0)+IF(M4=1,23.02,0)+IF(N4=1,24.04,0)+IF(O4=1,24.04,0)+IF(P4=1,25.04,0)+IF(Q4=1,25.04,0)+IF(R4=1,48.07,0)+IF(S4=1,48.07,0)+IF(T4=1,48.07,0)+IF(U4=1,48.07,0)+IF(V4=1,58.05,0)+IF(W4=1,58.05,0)+IF(X4=1,58.05,0)+IF(Y4=1,58.05,0)+IF(Z4=1,49.07,0)+IF(AA4=1,49.07,0)+IF(AB4=1,49.07,0)+IF(AC4=1,49.07,0)+IF(AD4=1,65.76,0)+IF(AE4=1,65.76,0)+IF(AF4=1,65.76,0)+IF(AG4=1,65.76,0)+IF(AH4=1,46.07,0)+IF(AI4=1,46.07,0)+IF(AJ4=1,46.07,0)+IF(AK4=1,46.07,0)+IF(AL4=1,43,0)+IF(AM4=1,43,0)+IF(AN4=1,43,0)+IF(AO4=1,43,0)+IF(AP4=1,60.9,0)+IF(AQ4=1,60.9,0)+IF(AR4=1,60.9,0)+IF(AS4=1,60.9,0)+IF(AU4=1,72.01,0)+IF(AV4=1,72.01,0)+IF(AW4=1,72.01,0)+IF(AX4=1,72.01,0)+IF(AY4=1,72.01,0)+IF(AZ4=1,72.01,0)+IF(AV4=1,72.01,0)+IF(BA4=1,72.01,0)+IF(BB4=1,72.01,0)+IF(BC4=1,72.01,0)+IF(BD4=1,72.01,0)+IF(BE4=1,72.01,0)+IF(BF4=1,40.87,0)+IF(BG4=1,40.87,0)+IF(BH4=1,40.87,0)+IF(BI4=1,40.87,0)+IF(AT4=1,24.24,0)</f>
        <v>1408.55</v>
      </c>
    </row>
    <row r="5" spans="1:62" x14ac:dyDescent="0.25">
      <c r="A5" s="4">
        <v>76634943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>
        <v>1</v>
      </c>
      <c r="R5" s="4">
        <v>1</v>
      </c>
      <c r="S5" s="4"/>
      <c r="T5" s="4"/>
      <c r="U5" s="4"/>
      <c r="V5" s="4">
        <v>1</v>
      </c>
      <c r="W5" s="4"/>
      <c r="X5" s="4"/>
      <c r="Y5" s="4"/>
      <c r="Z5" s="4"/>
      <c r="AA5" s="4">
        <v>1</v>
      </c>
      <c r="AB5" s="4"/>
      <c r="AC5" s="4"/>
      <c r="AD5" s="4"/>
      <c r="AE5" s="4">
        <v>1</v>
      </c>
      <c r="AF5" s="4">
        <v>1</v>
      </c>
      <c r="AG5" s="4"/>
      <c r="AH5" s="4"/>
      <c r="AI5" s="4">
        <v>1</v>
      </c>
      <c r="AJ5" s="4"/>
      <c r="AK5" s="4"/>
      <c r="AL5" s="4">
        <v>1</v>
      </c>
      <c r="AM5" s="4"/>
      <c r="AN5" s="4"/>
      <c r="AO5" s="4"/>
      <c r="AP5" s="4"/>
      <c r="AQ5" s="4"/>
      <c r="AR5" s="4"/>
      <c r="AS5" s="4"/>
      <c r="AT5" s="4">
        <v>1</v>
      </c>
      <c r="AU5" s="4"/>
      <c r="AV5" s="4"/>
      <c r="AW5" s="4"/>
      <c r="AX5" s="4"/>
      <c r="AY5" s="4"/>
      <c r="AZ5" s="4">
        <v>1</v>
      </c>
      <c r="BA5" s="4"/>
      <c r="BB5" s="4"/>
      <c r="BC5" s="4"/>
      <c r="BD5" s="4">
        <v>1</v>
      </c>
      <c r="BE5" s="4"/>
      <c r="BF5" s="4"/>
      <c r="BG5" s="4"/>
      <c r="BH5" s="4"/>
      <c r="BI5" s="1"/>
      <c r="BJ5" s="1">
        <f t="shared" si="0"/>
        <v>569.08000000000004</v>
      </c>
    </row>
    <row r="6" spans="1:62" x14ac:dyDescent="0.25">
      <c r="A6" s="4">
        <v>60176383</v>
      </c>
      <c r="B6" s="4"/>
      <c r="C6" s="4">
        <v>1</v>
      </c>
      <c r="D6" s="4"/>
      <c r="E6" s="4"/>
      <c r="F6" s="4"/>
      <c r="G6" s="4"/>
      <c r="H6" s="4">
        <v>1</v>
      </c>
      <c r="I6" s="4"/>
      <c r="J6" s="4"/>
      <c r="K6" s="4"/>
      <c r="L6" s="4">
        <v>1</v>
      </c>
      <c r="M6" s="4"/>
      <c r="N6" s="4"/>
      <c r="O6" s="4"/>
      <c r="P6" s="4"/>
      <c r="Q6" s="4">
        <v>1</v>
      </c>
      <c r="R6" s="4"/>
      <c r="S6" s="4"/>
      <c r="T6" s="4">
        <v>1</v>
      </c>
      <c r="U6" s="4"/>
      <c r="V6" s="4">
        <v>1</v>
      </c>
      <c r="W6" s="4"/>
      <c r="X6" s="4"/>
      <c r="Y6" s="4">
        <v>1</v>
      </c>
      <c r="Z6" s="4"/>
      <c r="AA6" s="4">
        <v>1</v>
      </c>
      <c r="AB6" s="4"/>
      <c r="AC6" s="4">
        <v>1</v>
      </c>
      <c r="AD6" s="4"/>
      <c r="AE6" s="4">
        <v>1</v>
      </c>
      <c r="AF6" s="4">
        <v>1</v>
      </c>
      <c r="AG6" s="4"/>
      <c r="AH6" s="4"/>
      <c r="AI6" s="4"/>
      <c r="AJ6" s="4">
        <v>1</v>
      </c>
      <c r="AK6" s="4"/>
      <c r="AL6" s="4"/>
      <c r="AM6" s="4">
        <v>1</v>
      </c>
      <c r="AN6" s="4"/>
      <c r="AO6" s="4">
        <v>1</v>
      </c>
      <c r="AP6" s="4"/>
      <c r="AQ6" s="4"/>
      <c r="AR6" s="4"/>
      <c r="AS6" s="4">
        <v>1</v>
      </c>
      <c r="AT6" s="4"/>
      <c r="AU6" s="4"/>
      <c r="AV6" s="4">
        <v>1</v>
      </c>
      <c r="AW6" s="4">
        <v>1</v>
      </c>
      <c r="AX6" s="4"/>
      <c r="AY6" s="4"/>
      <c r="AZ6" s="4"/>
      <c r="BA6" s="4"/>
      <c r="BB6" s="4">
        <v>1</v>
      </c>
      <c r="BC6" s="4"/>
      <c r="BD6" s="4">
        <v>1</v>
      </c>
      <c r="BE6" s="4"/>
      <c r="BF6" s="4"/>
      <c r="BG6" s="4"/>
      <c r="BH6" s="4"/>
      <c r="BI6" s="1">
        <v>1</v>
      </c>
      <c r="BJ6" s="1">
        <f t="shared" si="0"/>
        <v>1100.29</v>
      </c>
    </row>
    <row r="7" spans="1:62" x14ac:dyDescent="0.25">
      <c r="A7" s="4">
        <v>61256578</v>
      </c>
      <c r="B7" s="4"/>
      <c r="C7" s="4"/>
      <c r="D7" s="4">
        <v>1</v>
      </c>
      <c r="E7" s="4">
        <v>1</v>
      </c>
      <c r="F7" s="4">
        <v>1</v>
      </c>
      <c r="G7" s="4"/>
      <c r="H7" s="4"/>
      <c r="I7" s="4">
        <v>1</v>
      </c>
      <c r="J7" s="4"/>
      <c r="K7" s="4"/>
      <c r="L7" s="4"/>
      <c r="M7" s="4">
        <v>1</v>
      </c>
      <c r="N7" s="4"/>
      <c r="O7" s="4">
        <v>1</v>
      </c>
      <c r="P7" s="4"/>
      <c r="Q7" s="4">
        <v>1</v>
      </c>
      <c r="R7" s="4"/>
      <c r="S7" s="4">
        <v>1</v>
      </c>
      <c r="T7" s="4">
        <v>1</v>
      </c>
      <c r="U7" s="4">
        <v>1</v>
      </c>
      <c r="V7" s="4">
        <v>1</v>
      </c>
      <c r="W7" s="4"/>
      <c r="X7" s="4"/>
      <c r="Y7" s="4"/>
      <c r="Z7" s="4">
        <v>1</v>
      </c>
      <c r="AA7" s="4">
        <v>1</v>
      </c>
      <c r="AB7" s="4"/>
      <c r="AC7" s="4"/>
      <c r="AD7" s="4"/>
      <c r="AE7" s="4"/>
      <c r="AF7" s="4">
        <v>1</v>
      </c>
      <c r="AG7" s="4"/>
      <c r="AH7" s="4">
        <v>1</v>
      </c>
      <c r="AI7" s="4">
        <v>1</v>
      </c>
      <c r="AJ7" s="4"/>
      <c r="AK7" s="4"/>
      <c r="AL7" s="4">
        <v>1</v>
      </c>
      <c r="AM7" s="4">
        <v>1</v>
      </c>
      <c r="AN7" s="4"/>
      <c r="AO7" s="4"/>
      <c r="AP7" s="4">
        <v>1</v>
      </c>
      <c r="AQ7" s="4">
        <v>1</v>
      </c>
      <c r="AR7" s="4">
        <v>1</v>
      </c>
      <c r="AS7" s="4"/>
      <c r="AT7" s="4"/>
      <c r="AU7" s="4"/>
      <c r="AV7" s="4">
        <v>1</v>
      </c>
      <c r="AW7" s="4"/>
      <c r="AX7" s="4"/>
      <c r="AY7" s="4">
        <v>1</v>
      </c>
      <c r="AZ7" s="4">
        <v>1</v>
      </c>
      <c r="BA7" s="4"/>
      <c r="BB7" s="4"/>
      <c r="BC7" s="4"/>
      <c r="BD7" s="4"/>
      <c r="BE7" s="4"/>
      <c r="BF7" s="4"/>
      <c r="BG7" s="4"/>
      <c r="BH7" s="4"/>
      <c r="BI7" s="1"/>
      <c r="BJ7" s="1">
        <f t="shared" si="0"/>
        <v>1215.3500000000001</v>
      </c>
    </row>
    <row r="8" spans="1:62" x14ac:dyDescent="0.25">
      <c r="A8" s="4">
        <v>60635320</v>
      </c>
      <c r="B8" s="4"/>
      <c r="C8" s="4">
        <v>1</v>
      </c>
      <c r="D8" s="4">
        <v>1</v>
      </c>
      <c r="E8" s="4"/>
      <c r="F8" s="4"/>
      <c r="G8" s="4"/>
      <c r="H8" s="4"/>
      <c r="I8" s="4">
        <v>1</v>
      </c>
      <c r="J8" s="4"/>
      <c r="K8" s="4"/>
      <c r="L8" s="4"/>
      <c r="M8" s="4"/>
      <c r="N8" s="4"/>
      <c r="O8" s="4"/>
      <c r="P8" s="4"/>
      <c r="Q8" s="4">
        <v>1</v>
      </c>
      <c r="R8" s="4"/>
      <c r="S8" s="4"/>
      <c r="T8" s="4">
        <v>1</v>
      </c>
      <c r="U8" s="4">
        <v>1</v>
      </c>
      <c r="V8" s="4">
        <v>1</v>
      </c>
      <c r="W8" s="4"/>
      <c r="X8" s="4">
        <v>1</v>
      </c>
      <c r="Y8" s="4"/>
      <c r="Z8" s="4"/>
      <c r="AA8" s="4">
        <v>1</v>
      </c>
      <c r="AB8" s="4"/>
      <c r="AC8" s="4"/>
      <c r="AD8" s="4"/>
      <c r="AE8" s="4"/>
      <c r="AF8" s="4"/>
      <c r="AG8" s="4"/>
      <c r="AH8" s="4">
        <v>1</v>
      </c>
      <c r="AI8" s="4"/>
      <c r="AJ8" s="4"/>
      <c r="AK8" s="4"/>
      <c r="AL8" s="4">
        <v>1</v>
      </c>
      <c r="AM8" s="4">
        <v>1</v>
      </c>
      <c r="AN8" s="4">
        <v>1</v>
      </c>
      <c r="AO8" s="4"/>
      <c r="AP8" s="4"/>
      <c r="AQ8" s="4">
        <v>1</v>
      </c>
      <c r="AR8" s="4"/>
      <c r="AS8" s="4">
        <v>1</v>
      </c>
      <c r="AT8" s="4"/>
      <c r="AU8" s="4">
        <v>1</v>
      </c>
      <c r="AV8" s="4">
        <v>1</v>
      </c>
      <c r="AW8" s="4"/>
      <c r="AX8" s="4">
        <v>1</v>
      </c>
      <c r="AY8" s="4">
        <v>1</v>
      </c>
      <c r="AZ8" s="4">
        <v>1</v>
      </c>
      <c r="BA8" s="4"/>
      <c r="BB8" s="4"/>
      <c r="BC8" s="4"/>
      <c r="BD8" s="4"/>
      <c r="BE8" s="4">
        <v>1</v>
      </c>
      <c r="BF8" s="4"/>
      <c r="BG8" s="4"/>
      <c r="BH8" s="4">
        <v>1</v>
      </c>
      <c r="BI8" s="1"/>
      <c r="BJ8" s="1">
        <f t="shared" si="0"/>
        <v>1225.9799999999998</v>
      </c>
    </row>
    <row r="9" spans="1:62" x14ac:dyDescent="0.25">
      <c r="A9" s="4">
        <v>60696439</v>
      </c>
      <c r="B9" s="4"/>
      <c r="C9" s="4">
        <v>1</v>
      </c>
      <c r="D9" s="4"/>
      <c r="E9" s="4"/>
      <c r="F9" s="4"/>
      <c r="G9" s="4"/>
      <c r="H9" s="4"/>
      <c r="I9" s="4">
        <v>1</v>
      </c>
      <c r="J9" s="4"/>
      <c r="K9" s="4"/>
      <c r="L9" s="4"/>
      <c r="M9" s="4"/>
      <c r="N9" s="4"/>
      <c r="O9" s="4">
        <v>1</v>
      </c>
      <c r="P9" s="4"/>
      <c r="Q9" s="4"/>
      <c r="R9" s="4">
        <v>1</v>
      </c>
      <c r="S9" s="4"/>
      <c r="T9" s="4"/>
      <c r="U9" s="4"/>
      <c r="V9" s="4">
        <v>1</v>
      </c>
      <c r="W9" s="4">
        <v>1</v>
      </c>
      <c r="X9" s="4"/>
      <c r="Y9" s="4">
        <v>1</v>
      </c>
      <c r="Z9" s="4"/>
      <c r="AA9" s="4">
        <v>1</v>
      </c>
      <c r="AB9" s="4"/>
      <c r="AC9" s="4"/>
      <c r="AD9" s="4"/>
      <c r="AE9" s="4"/>
      <c r="AF9" s="4"/>
      <c r="AG9" s="4"/>
      <c r="AH9" s="4"/>
      <c r="AI9" s="4">
        <v>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>
        <v>1</v>
      </c>
      <c r="AX9" s="4"/>
      <c r="AY9" s="4"/>
      <c r="AZ9" s="4"/>
      <c r="BA9" s="4"/>
      <c r="BB9" s="4">
        <v>1</v>
      </c>
      <c r="BC9" s="4"/>
      <c r="BD9" s="4"/>
      <c r="BE9" s="4">
        <v>1</v>
      </c>
      <c r="BF9" s="4"/>
      <c r="BG9" s="4"/>
      <c r="BH9" s="4"/>
      <c r="BI9" s="1">
        <v>1</v>
      </c>
      <c r="BJ9" s="1">
        <f t="shared" si="0"/>
        <v>662.81000000000006</v>
      </c>
    </row>
    <row r="10" spans="1:62" x14ac:dyDescent="0.25">
      <c r="A10" s="4">
        <v>60674776</v>
      </c>
      <c r="B10" s="4"/>
      <c r="C10" s="4">
        <v>1</v>
      </c>
      <c r="D10" s="4"/>
      <c r="E10" s="4">
        <v>1</v>
      </c>
      <c r="F10" s="4">
        <v>1</v>
      </c>
      <c r="G10" s="4"/>
      <c r="H10" s="4"/>
      <c r="I10" s="4"/>
      <c r="J10" s="4"/>
      <c r="K10" s="4">
        <v>1</v>
      </c>
      <c r="L10" s="4"/>
      <c r="M10" s="4"/>
      <c r="N10" s="4"/>
      <c r="O10" s="4"/>
      <c r="P10" s="4"/>
      <c r="Q10" s="4">
        <v>1</v>
      </c>
      <c r="R10" s="4">
        <v>1</v>
      </c>
      <c r="S10" s="4">
        <v>1</v>
      </c>
      <c r="T10" s="4">
        <v>1</v>
      </c>
      <c r="U10" s="4"/>
      <c r="V10" s="4"/>
      <c r="W10" s="4"/>
      <c r="X10" s="4"/>
      <c r="Y10" s="4">
        <v>1</v>
      </c>
      <c r="Z10" s="4"/>
      <c r="AA10" s="4"/>
      <c r="AB10" s="4"/>
      <c r="AC10" s="4"/>
      <c r="AD10" s="4">
        <v>1</v>
      </c>
      <c r="AE10" s="4">
        <v>1</v>
      </c>
      <c r="AF10" s="4"/>
      <c r="AG10" s="4"/>
      <c r="AH10" s="4"/>
      <c r="AI10" s="4"/>
      <c r="AJ10" s="4"/>
      <c r="AK10" s="4"/>
      <c r="AL10" s="4"/>
      <c r="AM10" s="4">
        <v>1</v>
      </c>
      <c r="AN10" s="4"/>
      <c r="AO10" s="4">
        <v>1</v>
      </c>
      <c r="AP10" s="4"/>
      <c r="AQ10" s="4"/>
      <c r="AR10" s="4"/>
      <c r="AS10" s="4"/>
      <c r="AT10" s="4"/>
      <c r="AU10" s="4"/>
      <c r="AV10" s="4"/>
      <c r="AW10" s="4">
        <v>1</v>
      </c>
      <c r="AX10" s="4"/>
      <c r="AY10" s="4"/>
      <c r="AZ10" s="4">
        <v>1</v>
      </c>
      <c r="BA10" s="4"/>
      <c r="BB10" s="4"/>
      <c r="BC10" s="4"/>
      <c r="BD10" s="4">
        <v>1</v>
      </c>
      <c r="BE10" s="4">
        <v>1</v>
      </c>
      <c r="BF10" s="4">
        <v>1</v>
      </c>
      <c r="BG10" s="4"/>
      <c r="BH10" s="4">
        <v>1</v>
      </c>
      <c r="BI10" s="1"/>
      <c r="BJ10" s="1">
        <f t="shared" si="0"/>
        <v>942.81</v>
      </c>
    </row>
    <row r="11" spans="1:62" x14ac:dyDescent="0.25">
      <c r="A11" s="4">
        <v>71996083</v>
      </c>
      <c r="B11" s="4">
        <v>1</v>
      </c>
      <c r="C11" s="4">
        <v>1</v>
      </c>
      <c r="D11" s="4"/>
      <c r="E11" s="4">
        <v>1</v>
      </c>
      <c r="F11" s="4"/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>
        <v>1</v>
      </c>
      <c r="R11" s="4"/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/>
      <c r="AC11" s="4"/>
      <c r="AD11" s="4">
        <v>1</v>
      </c>
      <c r="AE11" s="4"/>
      <c r="AF11" s="4">
        <v>1</v>
      </c>
      <c r="AG11" s="4"/>
      <c r="AH11" s="4"/>
      <c r="AI11" s="4">
        <v>1</v>
      </c>
      <c r="AJ11" s="4"/>
      <c r="AK11" s="4"/>
      <c r="AL11" s="4">
        <v>1</v>
      </c>
      <c r="AM11" s="4">
        <v>1</v>
      </c>
      <c r="AN11" s="4"/>
      <c r="AO11" s="4">
        <v>1</v>
      </c>
      <c r="AP11" s="4"/>
      <c r="AQ11" s="4"/>
      <c r="AR11" s="4"/>
      <c r="AS11" s="4">
        <v>1</v>
      </c>
      <c r="AT11" s="4">
        <v>1</v>
      </c>
      <c r="AU11" s="4"/>
      <c r="AV11" s="4"/>
      <c r="AW11" s="4"/>
      <c r="AX11" s="4"/>
      <c r="AY11" s="4"/>
      <c r="AZ11" s="4">
        <v>1</v>
      </c>
      <c r="BA11" s="4"/>
      <c r="BB11" s="4"/>
      <c r="BC11" s="4">
        <v>1</v>
      </c>
      <c r="BD11" s="4">
        <v>1</v>
      </c>
      <c r="BE11" s="4">
        <v>1</v>
      </c>
      <c r="BF11" s="4"/>
      <c r="BG11" s="4"/>
      <c r="BH11" s="4"/>
      <c r="BI11" s="1">
        <v>1</v>
      </c>
      <c r="BJ11" s="1">
        <f t="shared" si="0"/>
        <v>1349.9</v>
      </c>
    </row>
    <row r="12" spans="1:62" x14ac:dyDescent="0.25">
      <c r="A12" s="4">
        <v>60674658</v>
      </c>
      <c r="B12" s="4">
        <v>1</v>
      </c>
      <c r="C12" s="4">
        <v>1</v>
      </c>
      <c r="D12" s="4"/>
      <c r="E12" s="4"/>
      <c r="F12" s="4"/>
      <c r="G12" s="4"/>
      <c r="H12" s="4"/>
      <c r="I12" s="4"/>
      <c r="J12" s="4">
        <v>1</v>
      </c>
      <c r="K12" s="4"/>
      <c r="L12" s="4"/>
      <c r="M12" s="4"/>
      <c r="N12" s="4"/>
      <c r="O12" s="4"/>
      <c r="P12" s="4"/>
      <c r="Q12" s="4">
        <v>1</v>
      </c>
      <c r="R12" s="4"/>
      <c r="S12" s="4">
        <v>1</v>
      </c>
      <c r="T12" s="4">
        <v>1</v>
      </c>
      <c r="U12" s="4"/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/>
      <c r="AD12" s="4">
        <v>1</v>
      </c>
      <c r="AE12" s="4">
        <v>1</v>
      </c>
      <c r="AF12" s="4">
        <v>1</v>
      </c>
      <c r="AG12" s="4"/>
      <c r="AH12" s="4"/>
      <c r="AI12" s="4"/>
      <c r="AJ12" s="4"/>
      <c r="AK12" s="4"/>
      <c r="AL12" s="4">
        <v>1</v>
      </c>
      <c r="AM12" s="4">
        <v>1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>
        <v>1</v>
      </c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/>
      <c r="BJ12" s="1">
        <f t="shared" si="0"/>
        <v>953.7</v>
      </c>
    </row>
    <row r="13" spans="1:62" x14ac:dyDescent="0.25">
      <c r="A13" s="4">
        <v>61256675</v>
      </c>
      <c r="B13" s="4"/>
      <c r="C13" s="4"/>
      <c r="D13" s="4"/>
      <c r="E13" s="4"/>
      <c r="F13" s="4"/>
      <c r="G13" s="4"/>
      <c r="H13" s="4"/>
      <c r="I13" s="4"/>
      <c r="J13" s="4">
        <v>1</v>
      </c>
      <c r="K13" s="4"/>
      <c r="L13" s="4">
        <v>1</v>
      </c>
      <c r="M13" s="4">
        <v>1</v>
      </c>
      <c r="N13" s="4"/>
      <c r="O13" s="4">
        <v>1</v>
      </c>
      <c r="P13" s="4"/>
      <c r="Q13" s="4">
        <v>1</v>
      </c>
      <c r="R13" s="4"/>
      <c r="S13" s="4">
        <v>1</v>
      </c>
      <c r="T13" s="4">
        <v>1</v>
      </c>
      <c r="U13" s="4">
        <v>1</v>
      </c>
      <c r="V13" s="4">
        <v>1</v>
      </c>
      <c r="W13" s="4"/>
      <c r="X13" s="4"/>
      <c r="Y13" s="4">
        <v>1</v>
      </c>
      <c r="Z13" s="4">
        <v>1</v>
      </c>
      <c r="AA13" s="4">
        <v>1</v>
      </c>
      <c r="AB13" s="4"/>
      <c r="AC13" s="4"/>
      <c r="AD13" s="4"/>
      <c r="AE13" s="4">
        <v>1</v>
      </c>
      <c r="AF13" s="4">
        <v>1</v>
      </c>
      <c r="AG13" s="4"/>
      <c r="AH13" s="4"/>
      <c r="AI13" s="4">
        <v>1</v>
      </c>
      <c r="AJ13" s="4"/>
      <c r="AK13" s="4"/>
      <c r="AL13" s="4">
        <v>1</v>
      </c>
      <c r="AM13" s="4">
        <v>1</v>
      </c>
      <c r="AN13" s="4">
        <v>1</v>
      </c>
      <c r="AO13" s="4"/>
      <c r="AP13" s="4">
        <v>1</v>
      </c>
      <c r="AQ13" s="4"/>
      <c r="AR13" s="4"/>
      <c r="AS13" s="4">
        <v>1</v>
      </c>
      <c r="AT13" s="4"/>
      <c r="AU13" s="4"/>
      <c r="AV13" s="4">
        <v>1</v>
      </c>
      <c r="AW13" s="4"/>
      <c r="AX13" s="4"/>
      <c r="AY13" s="4"/>
      <c r="AZ13" s="4">
        <v>1</v>
      </c>
      <c r="BA13" s="4"/>
      <c r="BB13" s="4"/>
      <c r="BC13" s="4"/>
      <c r="BD13" s="4">
        <v>1</v>
      </c>
      <c r="BE13" s="4"/>
      <c r="BF13" s="4">
        <v>1</v>
      </c>
      <c r="BG13" s="4"/>
      <c r="BH13" s="4">
        <v>1</v>
      </c>
      <c r="BI13" s="1"/>
      <c r="BJ13" s="1">
        <f t="shared" si="0"/>
        <v>1282.9399999999998</v>
      </c>
    </row>
    <row r="14" spans="1:62" x14ac:dyDescent="0.25">
      <c r="A14" s="4">
        <v>60276387</v>
      </c>
      <c r="B14" s="4"/>
      <c r="C14" s="4"/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/>
      <c r="K14" s="4"/>
      <c r="L14" s="4">
        <v>1</v>
      </c>
      <c r="M14" s="4">
        <v>1</v>
      </c>
      <c r="N14" s="4"/>
      <c r="O14" s="4"/>
      <c r="P14" s="4"/>
      <c r="Q14" s="4"/>
      <c r="R14" s="4"/>
      <c r="S14" s="4"/>
      <c r="T14" s="4">
        <v>1</v>
      </c>
      <c r="U14" s="4">
        <v>1</v>
      </c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>
        <v>1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>
        <v>1</v>
      </c>
      <c r="AU14" s="4"/>
      <c r="AV14" s="4"/>
      <c r="AW14" s="4"/>
      <c r="AX14" s="4"/>
      <c r="AY14" s="4"/>
      <c r="AZ14" s="4">
        <v>1</v>
      </c>
      <c r="BA14" s="4">
        <v>1</v>
      </c>
      <c r="BB14" s="4"/>
      <c r="BC14" s="4"/>
      <c r="BD14" s="4"/>
      <c r="BE14" s="4">
        <v>1</v>
      </c>
      <c r="BF14" s="4">
        <v>1</v>
      </c>
      <c r="BG14" s="4">
        <v>1</v>
      </c>
      <c r="BH14" s="4">
        <v>1</v>
      </c>
      <c r="BI14" s="1"/>
      <c r="BJ14" s="1">
        <f t="shared" si="0"/>
        <v>820.13</v>
      </c>
    </row>
    <row r="15" spans="1:62" x14ac:dyDescent="0.25">
      <c r="A15" s="4">
        <v>60588968</v>
      </c>
      <c r="B15" s="4"/>
      <c r="C15" s="4"/>
      <c r="D15" s="4"/>
      <c r="E15" s="4">
        <v>1</v>
      </c>
      <c r="F15" s="4"/>
      <c r="G15" s="4"/>
      <c r="H15" s="4">
        <v>1</v>
      </c>
      <c r="I15" s="4"/>
      <c r="J15" s="4"/>
      <c r="K15" s="4"/>
      <c r="L15" s="4"/>
      <c r="M15" s="4"/>
      <c r="N15" s="4"/>
      <c r="O15" s="4"/>
      <c r="P15" s="4"/>
      <c r="Q15" s="4">
        <v>1</v>
      </c>
      <c r="R15" s="4">
        <v>1</v>
      </c>
      <c r="S15" s="4"/>
      <c r="T15" s="4">
        <v>1</v>
      </c>
      <c r="U15" s="4"/>
      <c r="V15" s="4"/>
      <c r="W15" s="4"/>
      <c r="X15" s="4"/>
      <c r="Y15" s="4"/>
      <c r="Z15" s="4">
        <v>1</v>
      </c>
      <c r="AA15" s="4"/>
      <c r="AB15" s="4"/>
      <c r="AC15" s="4"/>
      <c r="AD15" s="4">
        <v>1</v>
      </c>
      <c r="AE15" s="4"/>
      <c r="AF15" s="4"/>
      <c r="AG15" s="4"/>
      <c r="AH15" s="4"/>
      <c r="AI15" s="4">
        <v>1</v>
      </c>
      <c r="AJ15" s="4">
        <v>1</v>
      </c>
      <c r="AK15" s="4"/>
      <c r="AL15" s="4">
        <v>1</v>
      </c>
      <c r="AM15" s="4">
        <v>1</v>
      </c>
      <c r="AN15" s="4"/>
      <c r="AO15" s="4"/>
      <c r="AP15" s="4">
        <v>1</v>
      </c>
      <c r="AQ15" s="4"/>
      <c r="AR15" s="4"/>
      <c r="AS15" s="4">
        <v>1</v>
      </c>
      <c r="AT15" s="4"/>
      <c r="AU15" s="4"/>
      <c r="AV15" s="4">
        <v>1</v>
      </c>
      <c r="AW15" s="4"/>
      <c r="AX15" s="4"/>
      <c r="AY15" s="4"/>
      <c r="AZ15" s="4">
        <v>1</v>
      </c>
      <c r="BA15" s="4">
        <v>1</v>
      </c>
      <c r="BB15" s="4"/>
      <c r="BC15" s="4">
        <v>1</v>
      </c>
      <c r="BD15" s="4">
        <v>1</v>
      </c>
      <c r="BE15" s="4"/>
      <c r="BF15" s="4">
        <v>1</v>
      </c>
      <c r="BG15" s="4">
        <v>1</v>
      </c>
      <c r="BH15" s="4"/>
      <c r="BI15" s="1"/>
      <c r="BJ15" s="1">
        <f t="shared" si="0"/>
        <v>1112.7999999999997</v>
      </c>
    </row>
    <row r="16" spans="1:62" x14ac:dyDescent="0.25">
      <c r="A16" s="4">
        <v>60636180</v>
      </c>
      <c r="B16" s="4"/>
      <c r="C16" s="4"/>
      <c r="D16" s="4"/>
      <c r="E16" s="4">
        <v>1</v>
      </c>
      <c r="F16" s="4"/>
      <c r="G16" s="4"/>
      <c r="H16" s="4">
        <v>1</v>
      </c>
      <c r="I16" s="4"/>
      <c r="J16" s="4"/>
      <c r="K16" s="4">
        <v>1</v>
      </c>
      <c r="L16" s="4">
        <v>1</v>
      </c>
      <c r="M16" s="4">
        <v>1</v>
      </c>
      <c r="N16" s="4"/>
      <c r="O16" s="4">
        <v>1</v>
      </c>
      <c r="P16" s="4">
        <v>1</v>
      </c>
      <c r="Q16" s="4">
        <v>1</v>
      </c>
      <c r="R16" s="4"/>
      <c r="S16" s="4">
        <v>1</v>
      </c>
      <c r="T16" s="4">
        <v>1</v>
      </c>
      <c r="U16" s="4"/>
      <c r="V16" s="4">
        <v>1</v>
      </c>
      <c r="W16" s="4"/>
      <c r="X16" s="4"/>
      <c r="Y16" s="4"/>
      <c r="Z16" s="4"/>
      <c r="AA16" s="4"/>
      <c r="AB16" s="4"/>
      <c r="AC16" s="4"/>
      <c r="AD16" s="4">
        <v>1</v>
      </c>
      <c r="AE16" s="4"/>
      <c r="AF16" s="4"/>
      <c r="AG16" s="4"/>
      <c r="AH16" s="4"/>
      <c r="AI16" s="4">
        <v>1</v>
      </c>
      <c r="AJ16" s="4"/>
      <c r="AK16" s="4"/>
      <c r="AL16" s="4"/>
      <c r="AM16" s="4">
        <v>1</v>
      </c>
      <c r="AN16" s="4"/>
      <c r="AO16" s="4"/>
      <c r="AP16" s="4"/>
      <c r="AQ16" s="4">
        <v>1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>
        <v>1</v>
      </c>
      <c r="BC16" s="4"/>
      <c r="BD16" s="4">
        <v>1</v>
      </c>
      <c r="BE16" s="4">
        <v>1</v>
      </c>
      <c r="BF16" s="4">
        <v>1</v>
      </c>
      <c r="BG16" s="4"/>
      <c r="BH16" s="4">
        <v>1</v>
      </c>
      <c r="BI16" s="1">
        <v>1</v>
      </c>
      <c r="BJ16" s="1">
        <f t="shared" si="0"/>
        <v>922.96999999999991</v>
      </c>
    </row>
    <row r="17" spans="1:62" x14ac:dyDescent="0.25">
      <c r="A17" s="4">
        <v>62202977</v>
      </c>
      <c r="B17" s="4"/>
      <c r="C17" s="4"/>
      <c r="D17" s="4"/>
      <c r="E17" s="4">
        <v>1</v>
      </c>
      <c r="F17" s="4"/>
      <c r="G17" s="4"/>
      <c r="H17" s="4"/>
      <c r="I17" s="4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>
        <v>1</v>
      </c>
      <c r="V17" s="4"/>
      <c r="W17" s="4">
        <v>1</v>
      </c>
      <c r="X17" s="4"/>
      <c r="Y17" s="4"/>
      <c r="Z17" s="4"/>
      <c r="AA17" s="4">
        <v>1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>
        <v>1</v>
      </c>
      <c r="BH17" s="4"/>
      <c r="BI17" s="1">
        <v>1</v>
      </c>
      <c r="BJ17" s="1">
        <f t="shared" si="0"/>
        <v>299.98</v>
      </c>
    </row>
    <row r="18" spans="1:62" x14ac:dyDescent="0.25">
      <c r="A18" s="4">
        <v>61939371</v>
      </c>
      <c r="B18" s="4"/>
      <c r="C18" s="4"/>
      <c r="D18" s="4"/>
      <c r="E18" s="4"/>
      <c r="F18" s="4">
        <v>1</v>
      </c>
      <c r="G18" s="4"/>
      <c r="H18" s="4"/>
      <c r="I18" s="4"/>
      <c r="J18" s="4"/>
      <c r="K18" s="4">
        <v>1</v>
      </c>
      <c r="L18" s="4"/>
      <c r="M18" s="4">
        <v>1</v>
      </c>
      <c r="N18" s="4"/>
      <c r="O18" s="4">
        <v>1</v>
      </c>
      <c r="P18" s="4"/>
      <c r="Q18" s="4">
        <v>1</v>
      </c>
      <c r="R18" s="4"/>
      <c r="S18" s="4"/>
      <c r="T18" s="4">
        <v>1</v>
      </c>
      <c r="U18" s="4"/>
      <c r="V18" s="4">
        <v>1</v>
      </c>
      <c r="W18" s="4"/>
      <c r="X18" s="4"/>
      <c r="Y18" s="4"/>
      <c r="Z18" s="4"/>
      <c r="AA18" s="4">
        <v>1</v>
      </c>
      <c r="AB18" s="4"/>
      <c r="AC18" s="4"/>
      <c r="AD18" s="4"/>
      <c r="AE18" s="4">
        <v>1</v>
      </c>
      <c r="AF18" s="4"/>
      <c r="AG18" s="4"/>
      <c r="AH18" s="4"/>
      <c r="AI18" s="4"/>
      <c r="AJ18" s="4"/>
      <c r="AK18" s="4"/>
      <c r="AL18" s="4">
        <v>1</v>
      </c>
      <c r="AM18" s="4">
        <v>1</v>
      </c>
      <c r="AN18" s="4">
        <v>1</v>
      </c>
      <c r="AO18" s="4"/>
      <c r="AP18" s="4"/>
      <c r="AQ18" s="4">
        <v>1</v>
      </c>
      <c r="AR18" s="4"/>
      <c r="AS18" s="4">
        <v>1</v>
      </c>
      <c r="AT18" s="4">
        <v>1</v>
      </c>
      <c r="AU18" s="4"/>
      <c r="AV18" s="4">
        <v>1</v>
      </c>
      <c r="AW18" s="4"/>
      <c r="AX18" s="4">
        <v>1</v>
      </c>
      <c r="AY18" s="4">
        <v>1</v>
      </c>
      <c r="AZ18" s="4">
        <v>1</v>
      </c>
      <c r="BA18" s="4">
        <v>1</v>
      </c>
      <c r="BB18" s="4"/>
      <c r="BC18" s="4"/>
      <c r="BD18" s="4">
        <v>1</v>
      </c>
      <c r="BE18" s="4"/>
      <c r="BF18" s="4"/>
      <c r="BG18" s="4">
        <v>1</v>
      </c>
      <c r="BH18" s="4"/>
      <c r="BI18" s="1"/>
      <c r="BJ18" s="1">
        <f t="shared" si="0"/>
        <v>1176.08</v>
      </c>
    </row>
    <row r="19" spans="1:62" x14ac:dyDescent="0.25">
      <c r="A19" s="4">
        <v>60643789</v>
      </c>
      <c r="B19" s="4"/>
      <c r="C19" s="4"/>
      <c r="D19" s="4"/>
      <c r="E19" s="4">
        <v>1</v>
      </c>
      <c r="F19" s="4">
        <v>1</v>
      </c>
      <c r="G19" s="4"/>
      <c r="H19" s="4">
        <v>1</v>
      </c>
      <c r="I19" s="4">
        <v>1</v>
      </c>
      <c r="J19" s="4">
        <v>1</v>
      </c>
      <c r="K19" s="4"/>
      <c r="L19" s="4">
        <v>1</v>
      </c>
      <c r="M19" s="4"/>
      <c r="N19" s="4"/>
      <c r="O19" s="4"/>
      <c r="P19" s="4"/>
      <c r="Q19" s="4">
        <v>1</v>
      </c>
      <c r="R19" s="4">
        <v>1</v>
      </c>
      <c r="S19" s="4">
        <v>1</v>
      </c>
      <c r="T19" s="4">
        <v>1</v>
      </c>
      <c r="U19" s="4"/>
      <c r="V19" s="4">
        <v>1</v>
      </c>
      <c r="W19" s="4"/>
      <c r="X19" s="4"/>
      <c r="Y19" s="4">
        <v>1</v>
      </c>
      <c r="Z19" s="4">
        <v>1</v>
      </c>
      <c r="AA19" s="4">
        <v>1</v>
      </c>
      <c r="AB19" s="4"/>
      <c r="AC19" s="4"/>
      <c r="AD19" s="4">
        <v>1</v>
      </c>
      <c r="AE19" s="4">
        <v>1</v>
      </c>
      <c r="AF19" s="4"/>
      <c r="AG19" s="4"/>
      <c r="AH19" s="4"/>
      <c r="AI19" s="4"/>
      <c r="AJ19" s="4"/>
      <c r="AK19" s="4"/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/>
      <c r="AS19" s="4"/>
      <c r="AT19" s="4"/>
      <c r="AU19" s="4">
        <v>1</v>
      </c>
      <c r="AV19" s="4">
        <v>1</v>
      </c>
      <c r="AW19" s="4"/>
      <c r="AX19" s="4">
        <v>1</v>
      </c>
      <c r="AY19" s="4"/>
      <c r="AZ19" s="4">
        <v>1</v>
      </c>
      <c r="BA19" s="4">
        <v>1</v>
      </c>
      <c r="BB19" s="4"/>
      <c r="BC19" s="4"/>
      <c r="BD19" s="4"/>
      <c r="BE19" s="4"/>
      <c r="BF19" s="4"/>
      <c r="BG19" s="4"/>
      <c r="BH19" s="4"/>
      <c r="BI19" s="1"/>
      <c r="BJ19" s="1">
        <f t="shared" si="0"/>
        <v>1421.19</v>
      </c>
    </row>
    <row r="20" spans="1:62" x14ac:dyDescent="0.25">
      <c r="A20" s="4">
        <v>61989456</v>
      </c>
      <c r="B20" s="4"/>
      <c r="C20" s="4"/>
      <c r="D20" s="4">
        <v>1</v>
      </c>
      <c r="E20" s="4"/>
      <c r="F20" s="4"/>
      <c r="G20" s="4"/>
      <c r="H20" s="4"/>
      <c r="I20" s="4"/>
      <c r="J20" s="4"/>
      <c r="K20" s="4"/>
      <c r="L20" s="4"/>
      <c r="M20" s="4">
        <v>1</v>
      </c>
      <c r="N20" s="4"/>
      <c r="O20" s="4"/>
      <c r="P20" s="4"/>
      <c r="Q20" s="4">
        <v>1</v>
      </c>
      <c r="R20" s="4"/>
      <c r="S20" s="4"/>
      <c r="T20" s="4"/>
      <c r="U20" s="4">
        <v>1</v>
      </c>
      <c r="V20" s="4"/>
      <c r="W20" s="4"/>
      <c r="X20" s="4"/>
      <c r="Y20" s="4"/>
      <c r="Z20" s="4"/>
      <c r="AA20" s="4">
        <v>1</v>
      </c>
      <c r="AB20" s="4"/>
      <c r="AC20" s="4"/>
      <c r="AD20" s="4"/>
      <c r="AE20" s="4"/>
      <c r="AF20" s="4"/>
      <c r="AG20" s="4">
        <v>1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>
        <v>1</v>
      </c>
      <c r="AX20" s="4">
        <v>1</v>
      </c>
      <c r="AY20" s="4"/>
      <c r="AZ20" s="4">
        <v>1</v>
      </c>
      <c r="BA20" s="4"/>
      <c r="BB20" s="4"/>
      <c r="BC20" s="4"/>
      <c r="BD20" s="4">
        <v>1</v>
      </c>
      <c r="BE20" s="4"/>
      <c r="BF20" s="4">
        <v>1</v>
      </c>
      <c r="BG20" s="4">
        <v>1</v>
      </c>
      <c r="BH20" s="4"/>
      <c r="BI20" s="1"/>
      <c r="BJ20" s="1">
        <f t="shared" si="0"/>
        <v>614.04999999999995</v>
      </c>
    </row>
    <row r="21" spans="1:62" x14ac:dyDescent="0.25">
      <c r="A21" s="4">
        <v>61536721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>
        <v>1</v>
      </c>
      <c r="M21" s="4">
        <v>1</v>
      </c>
      <c r="N21" s="4"/>
      <c r="O21" s="4">
        <v>1</v>
      </c>
      <c r="P21" s="4"/>
      <c r="Q21" s="4">
        <v>1</v>
      </c>
      <c r="R21" s="4"/>
      <c r="S21" s="4">
        <v>1</v>
      </c>
      <c r="T21" s="4"/>
      <c r="U21" s="4"/>
      <c r="V21" s="4">
        <v>1</v>
      </c>
      <c r="W21" s="4"/>
      <c r="X21" s="4"/>
      <c r="Y21" s="4"/>
      <c r="Z21" s="4"/>
      <c r="AA21" s="4">
        <v>1</v>
      </c>
      <c r="AB21" s="4"/>
      <c r="AC21" s="4"/>
      <c r="AD21" s="4">
        <v>1</v>
      </c>
      <c r="AE21" s="4">
        <v>1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/>
      <c r="BI21" s="1"/>
      <c r="BJ21" s="1">
        <f t="shared" si="0"/>
        <v>525.85</v>
      </c>
    </row>
    <row r="22" spans="1:62" x14ac:dyDescent="0.25">
      <c r="A22" s="4">
        <v>61939423</v>
      </c>
      <c r="B22" s="4">
        <v>1</v>
      </c>
      <c r="C22" s="4"/>
      <c r="D22" s="4"/>
      <c r="E22" s="4">
        <v>1</v>
      </c>
      <c r="F22" s="4"/>
      <c r="G22" s="4"/>
      <c r="H22" s="4"/>
      <c r="I22" s="4"/>
      <c r="J22" s="4"/>
      <c r="K22" s="4">
        <v>1</v>
      </c>
      <c r="L22" s="4">
        <v>1</v>
      </c>
      <c r="M22" s="4"/>
      <c r="N22" s="4"/>
      <c r="O22" s="4"/>
      <c r="P22" s="4"/>
      <c r="Q22" s="4">
        <v>1</v>
      </c>
      <c r="R22" s="4"/>
      <c r="S22" s="4"/>
      <c r="T22" s="4">
        <v>1</v>
      </c>
      <c r="U22" s="4"/>
      <c r="V22" s="4">
        <v>1</v>
      </c>
      <c r="W22" s="4"/>
      <c r="X22" s="4"/>
      <c r="Y22" s="4">
        <v>1</v>
      </c>
      <c r="Z22" s="4"/>
      <c r="AA22" s="4"/>
      <c r="AB22" s="4"/>
      <c r="AC22" s="4"/>
      <c r="AD22" s="4">
        <v>1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1</v>
      </c>
      <c r="AQ22" s="4"/>
      <c r="AR22" s="4"/>
      <c r="AS22" s="4"/>
      <c r="AT22" s="4"/>
      <c r="AU22" s="4"/>
      <c r="AV22" s="4"/>
      <c r="AW22" s="4">
        <v>1</v>
      </c>
      <c r="AX22" s="4"/>
      <c r="AY22" s="4"/>
      <c r="AZ22" s="4">
        <v>1</v>
      </c>
      <c r="BA22" s="4">
        <v>1</v>
      </c>
      <c r="BB22" s="4">
        <v>1</v>
      </c>
      <c r="BC22" s="4"/>
      <c r="BD22" s="4"/>
      <c r="BE22" s="4"/>
      <c r="BF22" s="4"/>
      <c r="BG22" s="4"/>
      <c r="BH22" s="4"/>
      <c r="BI22" s="1"/>
      <c r="BJ22" s="1">
        <f t="shared" si="0"/>
        <v>723.29</v>
      </c>
    </row>
    <row r="23" spans="1:62" x14ac:dyDescent="0.25">
      <c r="A23" s="4">
        <v>62340541</v>
      </c>
      <c r="B23" s="4"/>
      <c r="C23" s="4">
        <v>1</v>
      </c>
      <c r="D23" s="4"/>
      <c r="E23" s="4"/>
      <c r="F23" s="4"/>
      <c r="G23" s="4"/>
      <c r="H23" s="4"/>
      <c r="I23" s="4">
        <v>1</v>
      </c>
      <c r="J23" s="4">
        <v>1</v>
      </c>
      <c r="K23" s="4"/>
      <c r="L23" s="4">
        <v>1</v>
      </c>
      <c r="M23" s="4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>
        <v>1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>
        <v>1</v>
      </c>
      <c r="BA23" s="4"/>
      <c r="BB23" s="4"/>
      <c r="BC23" s="4"/>
      <c r="BD23" s="4"/>
      <c r="BE23" s="4"/>
      <c r="BF23" s="4"/>
      <c r="BG23" s="4"/>
      <c r="BH23" s="4"/>
      <c r="BI23" s="1"/>
      <c r="BJ23" s="1">
        <f t="shared" si="0"/>
        <v>262.83</v>
      </c>
    </row>
    <row r="24" spans="1:62" x14ac:dyDescent="0.25">
      <c r="A24" s="4">
        <v>61939398</v>
      </c>
      <c r="B24" s="4"/>
      <c r="C24" s="4">
        <v>1</v>
      </c>
      <c r="D24" s="4">
        <v>1</v>
      </c>
      <c r="E24" s="4"/>
      <c r="F24" s="4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>
        <v>1</v>
      </c>
      <c r="R24" s="4"/>
      <c r="S24" s="4"/>
      <c r="T24" s="4">
        <v>1</v>
      </c>
      <c r="U24" s="4">
        <v>1</v>
      </c>
      <c r="V24" s="4"/>
      <c r="W24" s="4"/>
      <c r="X24" s="4"/>
      <c r="Y24" s="4"/>
      <c r="Z24" s="4"/>
      <c r="AA24" s="4">
        <v>1</v>
      </c>
      <c r="AB24" s="4">
        <v>1</v>
      </c>
      <c r="AC24" s="4"/>
      <c r="AD24" s="4">
        <v>1</v>
      </c>
      <c r="AE24" s="4"/>
      <c r="AF24" s="4"/>
      <c r="AG24" s="4"/>
      <c r="AH24" s="4"/>
      <c r="AI24" s="4"/>
      <c r="AJ24" s="4">
        <v>1</v>
      </c>
      <c r="AK24" s="4"/>
      <c r="AL24" s="4">
        <v>1</v>
      </c>
      <c r="AM24" s="4">
        <v>1</v>
      </c>
      <c r="AN24" s="4"/>
      <c r="AO24" s="4"/>
      <c r="AP24" s="4">
        <v>1</v>
      </c>
      <c r="AQ24" s="4">
        <v>1</v>
      </c>
      <c r="AR24" s="4"/>
      <c r="AS24" s="4"/>
      <c r="AT24" s="4">
        <v>1</v>
      </c>
      <c r="AU24" s="4"/>
      <c r="AV24" s="4"/>
      <c r="AW24" s="4"/>
      <c r="AX24" s="4"/>
      <c r="AY24" s="4"/>
      <c r="AZ24" s="4"/>
      <c r="BA24" s="4">
        <v>1</v>
      </c>
      <c r="BB24" s="4"/>
      <c r="BC24" s="4"/>
      <c r="BD24" s="4"/>
      <c r="BE24" s="4"/>
      <c r="BF24" s="4"/>
      <c r="BG24" s="4"/>
      <c r="BH24" s="4">
        <v>1</v>
      </c>
      <c r="BI24" s="1"/>
      <c r="BJ24" s="1">
        <f t="shared" si="0"/>
        <v>774.53999999999985</v>
      </c>
    </row>
    <row r="25" spans="1:62" x14ac:dyDescent="0.25">
      <c r="A25" s="4">
        <v>61001523</v>
      </c>
      <c r="B25" s="4"/>
      <c r="C25" s="4">
        <v>1</v>
      </c>
      <c r="D25" s="4">
        <v>1</v>
      </c>
      <c r="E25" s="4"/>
      <c r="F25" s="4"/>
      <c r="G25" s="4"/>
      <c r="H25" s="4"/>
      <c r="I25" s="4"/>
      <c r="J25" s="4"/>
      <c r="K25" s="4"/>
      <c r="L25" s="4">
        <v>1</v>
      </c>
      <c r="M25" s="4"/>
      <c r="N25" s="4"/>
      <c r="O25" s="4"/>
      <c r="P25" s="4"/>
      <c r="Q25" s="4"/>
      <c r="R25" s="4"/>
      <c r="S25" s="4"/>
      <c r="T25" s="4"/>
      <c r="U25" s="4">
        <v>1</v>
      </c>
      <c r="V25" s="4">
        <v>1</v>
      </c>
      <c r="W25" s="4"/>
      <c r="X25" s="4"/>
      <c r="Y25" s="4"/>
      <c r="Z25" s="4"/>
      <c r="AA25" s="4">
        <v>1</v>
      </c>
      <c r="AB25" s="4"/>
      <c r="AC25" s="4"/>
      <c r="AD25" s="4"/>
      <c r="AE25" s="4">
        <v>1</v>
      </c>
      <c r="AF25" s="4"/>
      <c r="AG25" s="4"/>
      <c r="AH25" s="4"/>
      <c r="AI25" s="4"/>
      <c r="AJ25" s="4"/>
      <c r="AK25" s="4"/>
      <c r="AL25" s="4"/>
      <c r="AM25" s="4">
        <v>1</v>
      </c>
      <c r="AN25" s="4"/>
      <c r="AO25" s="4"/>
      <c r="AP25" s="4"/>
      <c r="AQ25" s="4"/>
      <c r="AR25" s="4"/>
      <c r="AS25" s="4"/>
      <c r="AT25" s="4">
        <v>1</v>
      </c>
      <c r="AU25" s="4"/>
      <c r="AV25" s="4"/>
      <c r="AW25" s="4">
        <v>1</v>
      </c>
      <c r="AX25" s="4">
        <v>1</v>
      </c>
      <c r="AY25" s="4"/>
      <c r="AZ25" s="4"/>
      <c r="BA25" s="4">
        <v>1</v>
      </c>
      <c r="BB25" s="4"/>
      <c r="BC25" s="4"/>
      <c r="BD25" s="4">
        <v>1</v>
      </c>
      <c r="BE25" s="4"/>
      <c r="BF25" s="4"/>
      <c r="BG25" s="4">
        <v>1</v>
      </c>
      <c r="BH25" s="4">
        <v>1</v>
      </c>
      <c r="BI25" s="1"/>
      <c r="BJ25" s="1">
        <f t="shared" si="0"/>
        <v>747.61</v>
      </c>
    </row>
    <row r="26" spans="1:62" x14ac:dyDescent="0.25">
      <c r="A26" s="4">
        <v>61939351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/>
      <c r="H26" s="4">
        <v>1</v>
      </c>
      <c r="I26" s="4"/>
      <c r="J26" s="4"/>
      <c r="K26" s="4"/>
      <c r="L26" s="4">
        <v>1</v>
      </c>
      <c r="M26" s="4"/>
      <c r="N26" s="4"/>
      <c r="O26" s="4"/>
      <c r="P26" s="4"/>
      <c r="Q26" s="4"/>
      <c r="R26" s="4"/>
      <c r="S26" s="4">
        <v>1</v>
      </c>
      <c r="T26" s="4">
        <v>1</v>
      </c>
      <c r="U26" s="4"/>
      <c r="V26" s="4">
        <v>1</v>
      </c>
      <c r="W26" s="4"/>
      <c r="X26" s="4">
        <v>1</v>
      </c>
      <c r="Y26" s="4"/>
      <c r="Z26" s="4"/>
      <c r="AA26" s="4">
        <v>1</v>
      </c>
      <c r="AB26" s="4"/>
      <c r="AC26" s="4"/>
      <c r="AD26" s="4"/>
      <c r="AE26" s="4">
        <v>1</v>
      </c>
      <c r="AF26" s="4"/>
      <c r="AG26" s="4"/>
      <c r="AH26" s="4"/>
      <c r="AI26" s="4">
        <v>1</v>
      </c>
      <c r="AJ26" s="4"/>
      <c r="AK26" s="4"/>
      <c r="AL26" s="4">
        <v>1</v>
      </c>
      <c r="AM26" s="4">
        <v>1</v>
      </c>
      <c r="AN26" s="4"/>
      <c r="AO26" s="4"/>
      <c r="AP26" s="4">
        <v>1</v>
      </c>
      <c r="AQ26" s="4">
        <v>1</v>
      </c>
      <c r="AR26" s="4"/>
      <c r="AS26" s="4"/>
      <c r="AT26" s="4"/>
      <c r="AU26" s="4"/>
      <c r="AV26" s="4"/>
      <c r="AW26" s="4"/>
      <c r="AX26" s="4"/>
      <c r="AY26" s="4"/>
      <c r="AZ26" s="4"/>
      <c r="BA26" s="4">
        <v>1</v>
      </c>
      <c r="BB26" s="4"/>
      <c r="BC26" s="4"/>
      <c r="BD26" s="4"/>
      <c r="BE26" s="4"/>
      <c r="BF26" s="4">
        <v>1</v>
      </c>
      <c r="BG26" s="4"/>
      <c r="BH26" s="4">
        <v>1</v>
      </c>
      <c r="BI26" s="1"/>
      <c r="BJ26" s="1">
        <f t="shared" si="0"/>
        <v>952.54000000000008</v>
      </c>
    </row>
    <row r="27" spans="1:62" x14ac:dyDescent="0.25">
      <c r="A27" s="4">
        <v>73999178</v>
      </c>
      <c r="B27" s="4"/>
      <c r="C27" s="4"/>
      <c r="D27" s="4">
        <v>1</v>
      </c>
      <c r="E27" s="4"/>
      <c r="F27" s="4"/>
      <c r="G27" s="4"/>
      <c r="H27" s="4"/>
      <c r="I27" s="4">
        <v>1</v>
      </c>
      <c r="J27" s="4">
        <v>1</v>
      </c>
      <c r="K27" s="4"/>
      <c r="L27" s="4">
        <v>1</v>
      </c>
      <c r="M27" s="4">
        <v>1</v>
      </c>
      <c r="N27" s="4"/>
      <c r="O27" s="4"/>
      <c r="P27" s="4"/>
      <c r="Q27" s="4"/>
      <c r="R27" s="4"/>
      <c r="S27" s="4"/>
      <c r="T27" s="4"/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>
        <v>1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>
        <v>1</v>
      </c>
      <c r="AP27" s="4"/>
      <c r="AQ27" s="4">
        <v>1</v>
      </c>
      <c r="AR27" s="4"/>
      <c r="AS27" s="4"/>
      <c r="AT27" s="4"/>
      <c r="AU27" s="4">
        <v>1</v>
      </c>
      <c r="AV27" s="4"/>
      <c r="AW27" s="4"/>
      <c r="AX27" s="4"/>
      <c r="AY27" s="4"/>
      <c r="AZ27" s="4"/>
      <c r="BA27" s="4"/>
      <c r="BB27" s="4">
        <v>1</v>
      </c>
      <c r="BC27" s="4">
        <v>1</v>
      </c>
      <c r="BD27" s="4">
        <v>1</v>
      </c>
      <c r="BE27" s="4"/>
      <c r="BF27" s="4">
        <v>1</v>
      </c>
      <c r="BG27" s="4">
        <v>1</v>
      </c>
      <c r="BH27" s="4">
        <v>1</v>
      </c>
      <c r="BI27" s="1"/>
      <c r="BJ27" s="1">
        <f t="shared" si="0"/>
        <v>770.13</v>
      </c>
    </row>
    <row r="28" spans="1:62" x14ac:dyDescent="0.25">
      <c r="A28" s="4">
        <v>61939448</v>
      </c>
      <c r="B28" s="4"/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>
        <v>1</v>
      </c>
      <c r="L28" s="4">
        <v>1</v>
      </c>
      <c r="M28" s="4">
        <v>1</v>
      </c>
      <c r="N28" s="4"/>
      <c r="O28" s="4">
        <v>1</v>
      </c>
      <c r="P28" s="4"/>
      <c r="Q28" s="4"/>
      <c r="R28" s="4">
        <v>1</v>
      </c>
      <c r="S28" s="4"/>
      <c r="T28" s="4">
        <v>1</v>
      </c>
      <c r="U28" s="4"/>
      <c r="V28" s="4"/>
      <c r="W28" s="4"/>
      <c r="X28" s="4"/>
      <c r="Y28" s="4">
        <v>1</v>
      </c>
      <c r="Z28" s="4"/>
      <c r="AA28" s="4">
        <v>1</v>
      </c>
      <c r="AB28" s="4"/>
      <c r="AC28" s="4"/>
      <c r="AD28" s="4"/>
      <c r="AE28" s="4"/>
      <c r="AF28" s="4"/>
      <c r="AG28" s="4"/>
      <c r="AH28" s="4">
        <v>1</v>
      </c>
      <c r="AI28" s="4"/>
      <c r="AJ28" s="4"/>
      <c r="AK28" s="4">
        <v>1</v>
      </c>
      <c r="AL28" s="4"/>
      <c r="AM28" s="4"/>
      <c r="AN28" s="4"/>
      <c r="AO28" s="4">
        <v>1</v>
      </c>
      <c r="AP28" s="4"/>
      <c r="AQ28" s="4">
        <v>1</v>
      </c>
      <c r="AR28" s="4"/>
      <c r="AS28" s="4"/>
      <c r="AT28" s="4"/>
      <c r="AU28" s="4">
        <v>1</v>
      </c>
      <c r="AV28" s="4"/>
      <c r="AW28" s="4"/>
      <c r="AX28" s="4"/>
      <c r="AY28" s="4"/>
      <c r="AZ28" s="4">
        <v>1</v>
      </c>
      <c r="BA28" s="4"/>
      <c r="BB28" s="4"/>
      <c r="BC28" s="4"/>
      <c r="BD28" s="4"/>
      <c r="BE28" s="4"/>
      <c r="BF28" s="4"/>
      <c r="BG28" s="4"/>
      <c r="BH28" s="4"/>
      <c r="BI28" s="1"/>
      <c r="BJ28" s="1">
        <f t="shared" si="0"/>
        <v>740.95999999999992</v>
      </c>
    </row>
    <row r="29" spans="1:62" x14ac:dyDescent="0.25">
      <c r="A29" s="4">
        <v>60176440</v>
      </c>
      <c r="B29" s="4"/>
      <c r="C29" s="4"/>
      <c r="D29" s="4"/>
      <c r="E29" s="4"/>
      <c r="F29" s="4">
        <v>1</v>
      </c>
      <c r="G29" s="4">
        <v>1</v>
      </c>
      <c r="H29" s="4"/>
      <c r="I29" s="4"/>
      <c r="J29" s="4"/>
      <c r="K29" s="4"/>
      <c r="L29" s="4"/>
      <c r="M29" s="4"/>
      <c r="N29" s="4">
        <v>1</v>
      </c>
      <c r="O29" s="4"/>
      <c r="P29" s="4"/>
      <c r="Q29" s="4"/>
      <c r="R29" s="4"/>
      <c r="S29" s="4"/>
      <c r="T29" s="4"/>
      <c r="U29" s="4"/>
      <c r="V29" s="4"/>
      <c r="W29" s="4">
        <v>1</v>
      </c>
      <c r="X29" s="4"/>
      <c r="Y29" s="4"/>
      <c r="Z29" s="4"/>
      <c r="AA29" s="4"/>
      <c r="AB29" s="4"/>
      <c r="AC29" s="4"/>
      <c r="AD29" s="4">
        <v>1</v>
      </c>
      <c r="AE29" s="4">
        <v>1</v>
      </c>
      <c r="AF29" s="4"/>
      <c r="AG29" s="4"/>
      <c r="AH29" s="4"/>
      <c r="AI29" s="4">
        <v>1</v>
      </c>
      <c r="AJ29" s="4"/>
      <c r="AK29" s="4"/>
      <c r="AL29" s="4"/>
      <c r="AM29" s="4"/>
      <c r="AN29" s="4">
        <v>1</v>
      </c>
      <c r="AO29" s="4"/>
      <c r="AP29" s="4"/>
      <c r="AQ29" s="4"/>
      <c r="AR29" s="4"/>
      <c r="AS29" s="4"/>
      <c r="AT29" s="4">
        <v>1</v>
      </c>
      <c r="AU29" s="4"/>
      <c r="AV29" s="4"/>
      <c r="AW29" s="4">
        <v>1</v>
      </c>
      <c r="AX29" s="4">
        <v>1</v>
      </c>
      <c r="AY29" s="4"/>
      <c r="AZ29" s="4"/>
      <c r="BA29" s="4"/>
      <c r="BB29" s="4">
        <v>1</v>
      </c>
      <c r="BC29" s="4"/>
      <c r="BD29" s="4"/>
      <c r="BE29" s="4">
        <v>1</v>
      </c>
      <c r="BF29" s="4"/>
      <c r="BG29" s="4"/>
      <c r="BH29" s="4">
        <v>1</v>
      </c>
      <c r="BI29" s="1"/>
      <c r="BJ29" s="1">
        <f t="shared" si="0"/>
        <v>719.53</v>
      </c>
    </row>
    <row r="30" spans="1:6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1"/>
      <c r="BJ30" s="1">
        <f t="shared" si="0"/>
        <v>0</v>
      </c>
    </row>
    <row r="31" spans="1:6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>
        <f t="shared" si="0"/>
        <v>0</v>
      </c>
    </row>
    <row r="32" spans="1:6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1"/>
      <c r="BJ32" s="1">
        <f t="shared" si="0"/>
        <v>0</v>
      </c>
    </row>
    <row r="33" spans="1:6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1"/>
      <c r="BJ33" s="1">
        <f t="shared" si="0"/>
        <v>0</v>
      </c>
    </row>
    <row r="34" spans="1:6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1"/>
      <c r="BJ34" s="1">
        <f t="shared" si="0"/>
        <v>0</v>
      </c>
    </row>
    <row r="35" spans="1:6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1"/>
      <c r="BJ35" s="1">
        <f t="shared" si="0"/>
        <v>0</v>
      </c>
    </row>
    <row r="36" spans="1:6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"/>
      <c r="BJ36" s="1">
        <f t="shared" si="0"/>
        <v>0</v>
      </c>
    </row>
    <row r="37" spans="1:6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/>
      <c r="BJ37" s="1">
        <f t="shared" si="0"/>
        <v>0</v>
      </c>
    </row>
    <row r="38" spans="1:6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/>
      <c r="BJ38" s="1">
        <f t="shared" si="0"/>
        <v>0</v>
      </c>
    </row>
    <row r="39" spans="1:6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"/>
      <c r="BJ39" s="1">
        <f t="shared" si="0"/>
        <v>0</v>
      </c>
    </row>
    <row r="40" spans="1:6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/>
      <c r="BJ40" s="1">
        <f t="shared" si="0"/>
        <v>0</v>
      </c>
    </row>
    <row r="41" spans="1:6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1"/>
      <c r="BJ41" s="1">
        <f t="shared" si="0"/>
        <v>0</v>
      </c>
    </row>
    <row r="42" spans="1:6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1"/>
      <c r="BJ42" s="1">
        <f t="shared" si="0"/>
        <v>0</v>
      </c>
    </row>
    <row r="43" spans="1:6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1"/>
      <c r="BJ43" s="1">
        <f t="shared" si="0"/>
        <v>0</v>
      </c>
    </row>
    <row r="44" spans="1:6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1"/>
      <c r="BJ44" s="1">
        <f t="shared" si="0"/>
        <v>0</v>
      </c>
    </row>
    <row r="45" spans="1:6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>
        <v>1</v>
      </c>
      <c r="AY45" s="4">
        <v>1</v>
      </c>
      <c r="AZ45" s="4">
        <v>1</v>
      </c>
      <c r="BA45" s="4">
        <v>1</v>
      </c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1">
        <v>1</v>
      </c>
      <c r="BJ45" s="1">
        <f>IF(B45=1,33.31,0)+IF(C45=1,33.31,0)+IF(D45=1,33.31,0)+IF(E45=1,31.85,0)+IF(F45=1,31.85,0)+IF(G45=1,31.85,0)+IF(H45=1,31.2,0)+IF(I45=1,31.2,0)+IF(J45=1,31.2,0)+IF(K45=1,31.2,0)+IF(L45=1,23.02,0)+IF(M45=1,23.02,0)+IF(N45=1,24.04,0)+IF(O45=1,24.04,0)+IF(P45=1,25.04,0)+IF(Q45=1,25.04,0)+IF(R45=1,48.07,0)+IF(S45=1,48.07,0)+IF(T45=1,48.07,0)+IF(U45=1,48.07,0)+IF(V45=1,58.05,0)+IF(W45=1,58.05,0)+IF(X45=1,58.05,0)+IF(Y45=1,58.05,0)+IF(Z45=1,49.07,0)+IF(AA45=1,49.07,0)+IF(AB45=1,49.07,0)+IF(AC45=1,49.07,0)+IF(AD45=1,65.76,0)+IF(AE45=1,65.76,0)+IF(AF45=1,65.76,0)+IF(AG45=1,65.76,0)+IF(AH45=1,46.07,0)+IF(AI45=1,46.07,0)+IF(AJ45=1,46.07,0)+IF(AK45=1,46.07,0)+IF(AL45=1,43,0)+IF(AM45=1,43,0)+IF(AN45=1,43,0)+IF(AO45=1,43,0)+IF(AP45=1,60.9,0)+IF(AQ45=1,60.9,0)+IF(AR45=1,60.9,0)+IF(AS45=1,60.9,0)+IF(AU45=1,72.01,0)+IF(AV45=1,72.01,0)+IF(AW45=1,72.01,0)+IF(AX45=1,72.01,0)+IF(AY45=1,72.01,0)+IF(AZ45=1,72.01,0)+IF(AV45=1,72.01,0)+IF(BA45=1,72.01,0)+IF(BB45=1,72.01,0)+IF(BC45=1,72.01,0)+IF(BD45=1,72.01,0)+IF(BE45=1,72.01,0)+IF(BF45=1,40.87,0)+IF(BG45=1,40.87,0)+IF(BH45=1,40.87,0)+IF(BI45=1,40.87,0)+IF(AT45=1,24.24,0)</f>
        <v>739.56000000000006</v>
      </c>
    </row>
    <row r="46" spans="1:6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1"/>
      <c r="BJ46" s="1">
        <f t="shared" si="0"/>
        <v>0</v>
      </c>
    </row>
    <row r="47" spans="1:6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1"/>
      <c r="BJ47" s="1">
        <f t="shared" si="0"/>
        <v>0</v>
      </c>
    </row>
    <row r="48" spans="1:6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1"/>
      <c r="BJ48" s="1">
        <f t="shared" si="0"/>
        <v>0</v>
      </c>
    </row>
    <row r="49" spans="1:6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1">
        <f t="shared" si="0"/>
        <v>0</v>
      </c>
    </row>
    <row r="50" spans="1:6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1">
        <f t="shared" si="0"/>
        <v>0</v>
      </c>
    </row>
  </sheetData>
  <mergeCells count="17">
    <mergeCell ref="AH1:AK1"/>
    <mergeCell ref="B1:D1"/>
    <mergeCell ref="E1:G1"/>
    <mergeCell ref="H1:I1"/>
    <mergeCell ref="J1:K1"/>
    <mergeCell ref="L1:M1"/>
    <mergeCell ref="N1:O1"/>
    <mergeCell ref="P1:Q1"/>
    <mergeCell ref="R1:U1"/>
    <mergeCell ref="V1:Y1"/>
    <mergeCell ref="Z1:AC1"/>
    <mergeCell ref="AD1:AG1"/>
    <mergeCell ref="AL1:AO1"/>
    <mergeCell ref="AP1:AS1"/>
    <mergeCell ref="AT1:AY1"/>
    <mergeCell ref="AZ1:BE1"/>
    <mergeCell ref="BF1:B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49BC-9F38-45B9-9D28-31C913A73234}">
  <sheetPr codeName="Hoja3"/>
  <dimension ref="A1:BJ50"/>
  <sheetViews>
    <sheetView workbookViewId="0">
      <selection activeCell="BJ3" sqref="BJ3:BJ8"/>
    </sheetView>
  </sheetViews>
  <sheetFormatPr baseColWidth="10" defaultRowHeight="15" x14ac:dyDescent="0.25"/>
  <cols>
    <col min="2" max="61" width="0" hidden="1" customWidth="1"/>
    <col min="62" max="62" width="11.85546875" bestFit="1" customWidth="1"/>
  </cols>
  <sheetData>
    <row r="1" spans="1:62" x14ac:dyDescent="0.25">
      <c r="A1" s="4"/>
      <c r="B1" s="13" t="s">
        <v>60</v>
      </c>
      <c r="C1" s="14"/>
      <c r="D1" s="14"/>
      <c r="E1" s="15"/>
      <c r="F1" s="13" t="s">
        <v>61</v>
      </c>
      <c r="G1" s="14"/>
      <c r="H1" s="14"/>
      <c r="I1" s="15"/>
      <c r="J1" s="13" t="s">
        <v>62</v>
      </c>
      <c r="K1" s="14"/>
      <c r="L1" s="14"/>
      <c r="M1" s="15"/>
      <c r="N1" s="13" t="s">
        <v>63</v>
      </c>
      <c r="O1" s="14"/>
      <c r="P1" s="14"/>
      <c r="Q1" s="15"/>
      <c r="R1" s="13" t="s">
        <v>64</v>
      </c>
      <c r="S1" s="14"/>
      <c r="T1" s="14"/>
      <c r="U1" s="15"/>
      <c r="V1" s="13" t="s">
        <v>65</v>
      </c>
      <c r="W1" s="14"/>
      <c r="X1" s="14"/>
      <c r="Y1" s="15"/>
      <c r="Z1" s="13" t="s">
        <v>80</v>
      </c>
      <c r="AA1" s="15"/>
      <c r="AB1" s="13" t="s">
        <v>67</v>
      </c>
      <c r="AC1" s="14"/>
      <c r="AD1" s="14"/>
      <c r="AE1" s="15"/>
      <c r="AF1" s="13" t="s">
        <v>68</v>
      </c>
      <c r="AG1" s="15"/>
      <c r="AH1" s="13" t="s">
        <v>69</v>
      </c>
      <c r="AI1" s="15"/>
      <c r="AJ1" s="13" t="s">
        <v>70</v>
      </c>
      <c r="AK1" s="15"/>
      <c r="AL1" s="13" t="s">
        <v>71</v>
      </c>
      <c r="AM1" s="15"/>
      <c r="AN1" s="13" t="s">
        <v>72</v>
      </c>
      <c r="AO1" s="15"/>
      <c r="AP1" s="13" t="s">
        <v>73</v>
      </c>
      <c r="AQ1" s="14"/>
      <c r="AR1" s="14"/>
      <c r="AS1" s="15"/>
      <c r="AT1" s="13" t="s">
        <v>74</v>
      </c>
      <c r="AU1" s="14"/>
      <c r="AV1" s="14"/>
      <c r="AW1" s="14"/>
      <c r="AX1" s="14"/>
      <c r="AY1" s="15"/>
      <c r="AZ1" s="13" t="s">
        <v>75</v>
      </c>
      <c r="BA1" s="14"/>
      <c r="BB1" s="14"/>
      <c r="BC1" s="14"/>
      <c r="BD1" s="14"/>
      <c r="BE1" s="15"/>
      <c r="BF1" s="13" t="s">
        <v>76</v>
      </c>
      <c r="BG1" s="15"/>
      <c r="BH1" s="8" t="s">
        <v>77</v>
      </c>
      <c r="BI1" s="2" t="s">
        <v>78</v>
      </c>
      <c r="BJ1" s="7" t="s">
        <v>81</v>
      </c>
    </row>
    <row r="2" spans="1:62" x14ac:dyDescent="0.25">
      <c r="A2" s="5" t="s">
        <v>79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3" t="s">
        <v>59</v>
      </c>
      <c r="BJ2" s="1"/>
    </row>
    <row r="3" spans="1:62" x14ac:dyDescent="0.25">
      <c r="A3" s="4">
        <v>61939379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>
        <v>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>
        <v>1</v>
      </c>
      <c r="AC3" s="4">
        <v>1</v>
      </c>
      <c r="AD3" s="4"/>
      <c r="AE3" s="4"/>
      <c r="AF3" s="4">
        <v>1</v>
      </c>
      <c r="AG3" s="4">
        <v>1</v>
      </c>
      <c r="AH3" s="4"/>
      <c r="AI3" s="4">
        <v>1</v>
      </c>
      <c r="AJ3" s="4"/>
      <c r="AK3" s="4"/>
      <c r="AL3" s="4"/>
      <c r="AM3" s="4"/>
      <c r="AN3" s="4">
        <v>1</v>
      </c>
      <c r="AO3" s="4"/>
      <c r="AP3" s="4">
        <v>1</v>
      </c>
      <c r="AQ3" s="4"/>
      <c r="AR3" s="4"/>
      <c r="AS3" s="4">
        <v>1</v>
      </c>
      <c r="AT3" s="4"/>
      <c r="AU3" s="4"/>
      <c r="AV3" s="4"/>
      <c r="AW3" s="4">
        <v>1</v>
      </c>
      <c r="AX3" s="4">
        <v>1</v>
      </c>
      <c r="AY3" s="4"/>
      <c r="AZ3" s="4">
        <v>1</v>
      </c>
      <c r="BA3" s="4"/>
      <c r="BB3" s="4"/>
      <c r="BC3" s="4"/>
      <c r="BD3" s="4"/>
      <c r="BE3" s="4"/>
      <c r="BF3" s="4"/>
      <c r="BG3" s="4"/>
      <c r="BH3" s="4"/>
      <c r="BI3" s="1"/>
      <c r="BJ3" s="1">
        <f>IF(B3=1,52.01,0)+IF(C3=1,52.01,0)+IF(D3=1,52.01,0)+IF(E3=1,52.01,0)+IF(F3=1,52.02,0)+IF(G3=1,52.02,0)+IF(H3=1,52.02,0)+IF(I3=1,52.02,0)+IF(J3=1,53.03,0)+IF(K3=1,53.03,0)+IF(L3=1,53.03,0)+IF(M3=1,53.03,0)+IF(N3=1,54.04,0)+IF(O3=1,54.04,0)+IF(P3=1,54.04,0)+IF(Q3=1,54.04,0)+IF(R3=1,59.05,0)+IF(S3=1,59.05,0)+IF(T3=1,59.05,0)+IF(U3=1,59.05,0)+IF(V3=1,54.06,0)+IF(W3=1,54.06,0)+IF(X3=1,54.06,0)+IF(Y3=1,54.06,0)+IF(Z3=1,31.77,0)+IF(AA3=1,31.77,0)+IF(AB3=1,38.02,0)+IF(AC3=1,38.02,0)+IF(AD3=1,38.02,0)+IF(AE3=1,38.02,0)+IF(AF3=1,37.01,0)+IF(AG3=1,37.01,0)+IF(AH3=1,25.76,0)+IF(AI3=1,25.76,0)+IF(AJ3=1,31.01,0)+IF(AK3=1,31.01,0)+IF(AL3=1,35.02,0)+IF(AM3=1,35.02,0)+IF(AN3=1,25.01,0)+IF(AO3=1,25.01,0)+IF(AP3=1,33.52,0)+IF(AQ3=1,33.52,0)+IF(AR3=1,33.52,0)+IF(AS3=1,33.52,0)+IF(AT3=1,71.03,0)+IF(AV3=1,71.03,0)+IF(AW3=1,71.03,0)+IF(AX3=1,71.03,0)+IF(AY3=1,71.03,0)+IF(AZ3=1,71.03,0)+IF(AV3=1,76.03,0)+IF(BA3=1,76.03,0)+IF(BB3=1,76.03,0)+IF(BC3=1,76.03,0)+IF(BD3=1,76.03,0)+IF(BE3=1,76.03,0)+IF(BF3=1,40.87,0)+IF(BG3=1,40.87,0)+IF(BH3=1,40.87,0)+IF(BI3=1,40.87,0)</f>
        <v>587.00999999999988</v>
      </c>
    </row>
    <row r="4" spans="1:62" x14ac:dyDescent="0.25">
      <c r="A4" s="4">
        <v>60619143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1</v>
      </c>
      <c r="U4" s="4">
        <v>1</v>
      </c>
      <c r="V4" s="4"/>
      <c r="W4" s="4"/>
      <c r="X4" s="4">
        <v>1</v>
      </c>
      <c r="Y4" s="4"/>
      <c r="Z4" s="4"/>
      <c r="AA4" s="4"/>
      <c r="AB4" s="4"/>
      <c r="AC4" s="4">
        <v>1</v>
      </c>
      <c r="AD4" s="4">
        <v>1</v>
      </c>
      <c r="AE4" s="4"/>
      <c r="AF4" s="4">
        <v>1</v>
      </c>
      <c r="AG4" s="4">
        <v>1</v>
      </c>
      <c r="AH4" s="4"/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/>
      <c r="AO4" s="4"/>
      <c r="AP4" s="4"/>
      <c r="AQ4" s="4"/>
      <c r="AR4" s="4"/>
      <c r="AS4" s="4"/>
      <c r="AT4" s="4"/>
      <c r="AU4" s="4"/>
      <c r="AV4" s="4"/>
      <c r="AW4" s="4">
        <v>1</v>
      </c>
      <c r="AX4" s="4"/>
      <c r="AY4" s="4"/>
      <c r="AZ4" s="4"/>
      <c r="BA4" s="4"/>
      <c r="BB4" s="4"/>
      <c r="BC4" s="4"/>
      <c r="BD4" s="4"/>
      <c r="BE4" s="4"/>
      <c r="BF4" s="4">
        <v>1</v>
      </c>
      <c r="BG4" s="4"/>
      <c r="BH4" s="4">
        <v>1</v>
      </c>
      <c r="BI4" s="1"/>
      <c r="BJ4" s="1">
        <f t="shared" ref="BJ4:BJ50" si="0">IF(B4=1,52.01,0)+IF(C4=1,52.01,0)+IF(D4=1,52.01,0)+IF(E4=1,52.01,0)+IF(F4=1,52.02,0)+IF(G4=1,52.02,0)+IF(H4=1,52.02,0)+IF(I4=1,52.02,0)+IF(J4=1,53.03,0)+IF(K4=1,53.03,0)+IF(L4=1,53.03,0)+IF(M4=1,53.03,0)+IF(N4=1,54.04,0)+IF(O4=1,54.04,0)+IF(P4=1,54.04,0)+IF(Q4=1,54.04,0)+IF(R4=1,59.05,0)+IF(S4=1,59.05,0)+IF(T4=1,59.05,0)+IF(U4=1,59.05,0)+IF(V4=1,54.06,0)+IF(W4=1,54.06,0)+IF(X4=1,54.06,0)+IF(Y4=1,54.06,0)+IF(Z4=1,31.77,0)+IF(AA4=1,31.77,0)+IF(AB4=1,38.02,0)+IF(AC4=1,38.02,0)+IF(AD4=1,38.02,0)+IF(AE4=1,38.02,0)+IF(AF4=1,37.01,0)+IF(AG4=1,37.01,0)+IF(AH4=1,25.76,0)+IF(AI4=1,25.76,0)+IF(AJ4=1,31.01,0)+IF(AK4=1,31.01,0)+IF(AL4=1,35.02,0)+IF(AM4=1,35.02,0)+IF(AN4=1,25.01,0)+IF(AO4=1,25.01,0)+IF(AP4=1,33.52,0)+IF(AQ4=1,33.52,0)+IF(AR4=1,33.52,0)+IF(AS4=1,33.52,0)+IF(AT4=1,71.03,0)+IF(AV4=1,71.03,0)+IF(AW4=1,71.03,0)+IF(AX4=1,71.03,0)+IF(AY4=1,71.03,0)+IF(AZ4=1,71.03,0)+IF(AV4=1,76.03,0)+IF(BA4=1,76.03,0)+IF(BB4=1,76.03,0)+IF(BC4=1,76.03,0)+IF(BD4=1,76.03,0)+IF(BE4=1,76.03,0)+IF(BF4=1,40.87,0)+IF(BG4=1,40.87,0)+IF(BH4=1,40.87,0)+IF(BI4=1,40.87,0)</f>
        <v>684.81999999999994</v>
      </c>
    </row>
    <row r="5" spans="1:62" x14ac:dyDescent="0.25">
      <c r="A5" s="4">
        <v>61939441</v>
      </c>
      <c r="B5" s="4"/>
      <c r="C5" s="4"/>
      <c r="D5" s="4">
        <v>1</v>
      </c>
      <c r="E5" s="4"/>
      <c r="F5" s="4">
        <v>1</v>
      </c>
      <c r="G5" s="4"/>
      <c r="H5" s="4"/>
      <c r="I5" s="4"/>
      <c r="J5" s="4"/>
      <c r="K5" s="4"/>
      <c r="L5" s="4"/>
      <c r="M5" s="4">
        <v>1</v>
      </c>
      <c r="N5" s="4"/>
      <c r="O5" s="4"/>
      <c r="P5" s="4">
        <v>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>
        <v>1</v>
      </c>
      <c r="AC5" s="4"/>
      <c r="AD5" s="4"/>
      <c r="AE5" s="4">
        <v>1</v>
      </c>
      <c r="AF5" s="4"/>
      <c r="AG5" s="4"/>
      <c r="AH5" s="4"/>
      <c r="AI5" s="4"/>
      <c r="AJ5" s="4"/>
      <c r="AK5" s="4">
        <v>1</v>
      </c>
      <c r="AL5" s="4"/>
      <c r="AM5" s="4"/>
      <c r="AN5" s="4"/>
      <c r="AO5" s="4"/>
      <c r="AP5" s="4"/>
      <c r="AQ5" s="4"/>
      <c r="AR5" s="4">
        <v>1</v>
      </c>
      <c r="AS5" s="4"/>
      <c r="AT5" s="4"/>
      <c r="AU5" s="4">
        <v>1</v>
      </c>
      <c r="AV5" s="4"/>
      <c r="AW5" s="4"/>
      <c r="AX5" s="4">
        <v>1</v>
      </c>
      <c r="AY5" s="4"/>
      <c r="AZ5" s="4"/>
      <c r="BA5" s="4"/>
      <c r="BB5" s="4"/>
      <c r="BC5" s="4"/>
      <c r="BD5" s="4">
        <v>1</v>
      </c>
      <c r="BE5" s="4">
        <v>1</v>
      </c>
      <c r="BF5" s="4"/>
      <c r="BG5" s="4"/>
      <c r="BH5" s="4"/>
      <c r="BI5" s="1"/>
      <c r="BJ5" s="1">
        <f t="shared" si="0"/>
        <v>574.75999999999988</v>
      </c>
    </row>
    <row r="6" spans="1:62" x14ac:dyDescent="0.25">
      <c r="A6" s="4">
        <v>60619092</v>
      </c>
      <c r="B6" s="4">
        <v>1</v>
      </c>
      <c r="C6" s="4"/>
      <c r="D6" s="4"/>
      <c r="E6" s="4"/>
      <c r="F6" s="4"/>
      <c r="G6" s="4"/>
      <c r="H6" s="4"/>
      <c r="I6" s="4"/>
      <c r="J6" s="4">
        <v>1</v>
      </c>
      <c r="K6" s="4"/>
      <c r="L6" s="4"/>
      <c r="M6" s="4">
        <v>1</v>
      </c>
      <c r="N6" s="4"/>
      <c r="O6" s="4"/>
      <c r="P6" s="4">
        <v>1</v>
      </c>
      <c r="Q6" s="4"/>
      <c r="R6" s="4">
        <v>1</v>
      </c>
      <c r="S6" s="4"/>
      <c r="T6" s="4"/>
      <c r="U6" s="4">
        <v>1</v>
      </c>
      <c r="V6" s="4">
        <v>1</v>
      </c>
      <c r="W6" s="4"/>
      <c r="X6" s="4"/>
      <c r="Y6" s="4">
        <v>1</v>
      </c>
      <c r="Z6" s="4"/>
      <c r="AA6" s="4">
        <v>1</v>
      </c>
      <c r="AB6" s="4">
        <v>1</v>
      </c>
      <c r="AC6" s="4">
        <v>1</v>
      </c>
      <c r="AD6" s="4"/>
      <c r="AE6" s="4">
        <v>1</v>
      </c>
      <c r="AF6" s="4"/>
      <c r="AG6" s="4"/>
      <c r="AH6" s="4"/>
      <c r="AI6" s="4"/>
      <c r="AJ6" s="4">
        <v>1</v>
      </c>
      <c r="AK6" s="4"/>
      <c r="AL6" s="4"/>
      <c r="AM6" s="4"/>
      <c r="AN6" s="4">
        <v>1</v>
      </c>
      <c r="AO6" s="4">
        <v>1</v>
      </c>
      <c r="AP6" s="4">
        <v>1</v>
      </c>
      <c r="AQ6" s="4"/>
      <c r="AR6" s="4"/>
      <c r="AS6" s="4">
        <v>1</v>
      </c>
      <c r="AT6" s="4"/>
      <c r="AU6" s="4">
        <v>1</v>
      </c>
      <c r="AV6" s="4">
        <v>1</v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>
        <v>1</v>
      </c>
      <c r="BH6" s="4">
        <v>1</v>
      </c>
      <c r="BI6" s="1"/>
      <c r="BJ6" s="1">
        <f t="shared" si="0"/>
        <v>961.02999999999986</v>
      </c>
    </row>
    <row r="7" spans="1:62" x14ac:dyDescent="0.25">
      <c r="A7" s="4">
        <v>62340457</v>
      </c>
      <c r="B7" s="4">
        <v>1</v>
      </c>
      <c r="C7" s="4">
        <v>1</v>
      </c>
      <c r="D7" s="4"/>
      <c r="E7" s="4">
        <v>1</v>
      </c>
      <c r="F7" s="4">
        <v>1</v>
      </c>
      <c r="G7" s="4"/>
      <c r="H7" s="4"/>
      <c r="I7" s="4"/>
      <c r="J7" s="4"/>
      <c r="K7" s="4"/>
      <c r="L7" s="4"/>
      <c r="M7" s="4">
        <v>1</v>
      </c>
      <c r="N7" s="4"/>
      <c r="O7" s="4"/>
      <c r="P7" s="4"/>
      <c r="Q7" s="4"/>
      <c r="R7" s="4"/>
      <c r="S7" s="4"/>
      <c r="T7" s="4"/>
      <c r="U7" s="4"/>
      <c r="V7" s="4"/>
      <c r="W7" s="4"/>
      <c r="X7" s="4">
        <v>1</v>
      </c>
      <c r="Y7" s="4"/>
      <c r="Z7" s="4">
        <v>1</v>
      </c>
      <c r="AA7" s="4">
        <v>1</v>
      </c>
      <c r="AB7" s="4">
        <v>1</v>
      </c>
      <c r="AC7" s="4">
        <v>1</v>
      </c>
      <c r="AD7" s="4"/>
      <c r="AE7" s="4"/>
      <c r="AF7" s="4">
        <v>1</v>
      </c>
      <c r="AG7" s="4"/>
      <c r="AH7" s="4">
        <v>1</v>
      </c>
      <c r="AI7" s="4"/>
      <c r="AJ7" s="4">
        <v>1</v>
      </c>
      <c r="AK7" s="4">
        <v>1</v>
      </c>
      <c r="AL7" s="4">
        <v>1</v>
      </c>
      <c r="AM7" s="4"/>
      <c r="AN7" s="4"/>
      <c r="AO7" s="4">
        <v>1</v>
      </c>
      <c r="AP7" s="4">
        <v>1</v>
      </c>
      <c r="AQ7" s="4"/>
      <c r="AR7" s="4"/>
      <c r="AS7" s="4">
        <v>1</v>
      </c>
      <c r="AT7" s="4"/>
      <c r="AU7" s="4"/>
      <c r="AV7" s="4"/>
      <c r="AW7" s="4"/>
      <c r="AX7" s="4">
        <v>1</v>
      </c>
      <c r="AY7" s="4">
        <v>1</v>
      </c>
      <c r="AZ7" s="4"/>
      <c r="BA7" s="4"/>
      <c r="BB7" s="4"/>
      <c r="BC7" s="4"/>
      <c r="BD7" s="4"/>
      <c r="BE7" s="4"/>
      <c r="BF7" s="4">
        <v>1</v>
      </c>
      <c r="BG7" s="4"/>
      <c r="BH7" s="4"/>
      <c r="BI7" s="1">
        <v>1</v>
      </c>
      <c r="BJ7" s="1">
        <f t="shared" si="0"/>
        <v>930.37999999999988</v>
      </c>
    </row>
    <row r="8" spans="1:62" x14ac:dyDescent="0.25">
      <c r="A8" s="4">
        <v>60696425</v>
      </c>
      <c r="B8" s="4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>
        <v>1</v>
      </c>
      <c r="U8" s="4">
        <v>1</v>
      </c>
      <c r="V8" s="4">
        <v>1</v>
      </c>
      <c r="W8" s="4"/>
      <c r="X8" s="4">
        <v>1</v>
      </c>
      <c r="Y8" s="4"/>
      <c r="Z8" s="4"/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/>
      <c r="AG8" s="4">
        <v>1</v>
      </c>
      <c r="AH8" s="4"/>
      <c r="AI8" s="4">
        <v>1</v>
      </c>
      <c r="AJ8" s="4">
        <v>1</v>
      </c>
      <c r="AK8" s="4">
        <v>1</v>
      </c>
      <c r="AL8" s="4">
        <v>1</v>
      </c>
      <c r="AM8" s="4"/>
      <c r="AN8" s="4">
        <v>1</v>
      </c>
      <c r="AO8" s="4"/>
      <c r="AP8" s="4"/>
      <c r="AQ8" s="4"/>
      <c r="AR8" s="4"/>
      <c r="AS8" s="4">
        <v>1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1"/>
      <c r="BJ8" s="1">
        <f t="shared" si="0"/>
        <v>680.41999999999985</v>
      </c>
    </row>
    <row r="9" spans="1:6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1"/>
      <c r="BJ9" s="1">
        <f t="shared" si="0"/>
        <v>0</v>
      </c>
    </row>
    <row r="10" spans="1:6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"/>
      <c r="BJ10" s="1">
        <f t="shared" si="0"/>
        <v>0</v>
      </c>
    </row>
    <row r="11" spans="1:6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"/>
      <c r="BJ11" s="1">
        <f t="shared" si="0"/>
        <v>0</v>
      </c>
    </row>
    <row r="12" spans="1:6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/>
      <c r="BJ12" s="1">
        <f t="shared" si="0"/>
        <v>0</v>
      </c>
    </row>
    <row r="13" spans="1:6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1"/>
      <c r="BJ13" s="1">
        <f t="shared" si="0"/>
        <v>0</v>
      </c>
    </row>
    <row r="14" spans="1:6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1"/>
      <c r="BJ14" s="1">
        <f t="shared" si="0"/>
        <v>0</v>
      </c>
    </row>
    <row r="15" spans="1:6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"/>
      <c r="BJ15" s="1">
        <f t="shared" si="0"/>
        <v>0</v>
      </c>
    </row>
    <row r="16" spans="1:6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>
        <f t="shared" si="0"/>
        <v>0</v>
      </c>
    </row>
    <row r="17" spans="1:6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1"/>
      <c r="BJ17" s="1">
        <f t="shared" si="0"/>
        <v>0</v>
      </c>
    </row>
    <row r="18" spans="1:6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"/>
      <c r="BJ18" s="1">
        <f t="shared" si="0"/>
        <v>0</v>
      </c>
    </row>
    <row r="19" spans="1:6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1"/>
      <c r="BJ19" s="1">
        <f t="shared" si="0"/>
        <v>0</v>
      </c>
    </row>
    <row r="20" spans="1:6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"/>
      <c r="BJ20" s="1">
        <f t="shared" si="0"/>
        <v>0</v>
      </c>
    </row>
    <row r="21" spans="1:6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"/>
      <c r="BJ21" s="1">
        <f t="shared" si="0"/>
        <v>0</v>
      </c>
    </row>
    <row r="22" spans="1:6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1"/>
      <c r="BJ22" s="1">
        <f t="shared" si="0"/>
        <v>0</v>
      </c>
    </row>
    <row r="23" spans="1:6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1"/>
      <c r="BJ23" s="1">
        <f t="shared" si="0"/>
        <v>0</v>
      </c>
    </row>
    <row r="24" spans="1:6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1"/>
      <c r="BJ24" s="1">
        <f t="shared" si="0"/>
        <v>0</v>
      </c>
    </row>
    <row r="25" spans="1:6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1"/>
      <c r="BJ25" s="1">
        <f t="shared" si="0"/>
        <v>0</v>
      </c>
    </row>
    <row r="26" spans="1:6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1"/>
      <c r="BJ26" s="1">
        <f t="shared" si="0"/>
        <v>0</v>
      </c>
    </row>
    <row r="27" spans="1:6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"/>
      <c r="BJ27" s="1">
        <f t="shared" si="0"/>
        <v>0</v>
      </c>
    </row>
    <row r="28" spans="1:6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"/>
      <c r="BJ28" s="1">
        <f t="shared" si="0"/>
        <v>0</v>
      </c>
    </row>
    <row r="29" spans="1:6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1"/>
      <c r="BJ29" s="1">
        <f t="shared" si="0"/>
        <v>0</v>
      </c>
    </row>
    <row r="30" spans="1:6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1"/>
      <c r="BJ30" s="1">
        <f t="shared" si="0"/>
        <v>0</v>
      </c>
    </row>
    <row r="31" spans="1:6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>
        <f t="shared" si="0"/>
        <v>0</v>
      </c>
    </row>
    <row r="32" spans="1:6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1"/>
      <c r="BJ32" s="1">
        <f t="shared" si="0"/>
        <v>0</v>
      </c>
    </row>
    <row r="33" spans="1:6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1"/>
      <c r="BJ33" s="1">
        <f t="shared" si="0"/>
        <v>0</v>
      </c>
    </row>
    <row r="34" spans="1:6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1"/>
      <c r="BJ34" s="1">
        <f t="shared" si="0"/>
        <v>0</v>
      </c>
    </row>
    <row r="35" spans="1:6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1"/>
      <c r="BJ35" s="1">
        <f t="shared" si="0"/>
        <v>0</v>
      </c>
    </row>
    <row r="36" spans="1:6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"/>
      <c r="BJ36" s="1">
        <f t="shared" si="0"/>
        <v>0</v>
      </c>
    </row>
    <row r="37" spans="1:6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/>
      <c r="BJ37" s="1">
        <f t="shared" si="0"/>
        <v>0</v>
      </c>
    </row>
    <row r="38" spans="1:6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/>
      <c r="BJ38" s="1">
        <f t="shared" si="0"/>
        <v>0</v>
      </c>
    </row>
    <row r="39" spans="1:6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"/>
      <c r="BJ39" s="1">
        <f t="shared" si="0"/>
        <v>0</v>
      </c>
    </row>
    <row r="40" spans="1:6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/>
      <c r="BJ40" s="1">
        <f t="shared" si="0"/>
        <v>0</v>
      </c>
    </row>
    <row r="41" spans="1:6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1"/>
      <c r="BJ41" s="1">
        <f t="shared" si="0"/>
        <v>0</v>
      </c>
    </row>
    <row r="42" spans="1:6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1"/>
      <c r="BJ42" s="1">
        <f t="shared" si="0"/>
        <v>0</v>
      </c>
    </row>
    <row r="43" spans="1:6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1"/>
      <c r="BJ43" s="1">
        <f t="shared" si="0"/>
        <v>0</v>
      </c>
    </row>
    <row r="44" spans="1:6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1"/>
      <c r="BJ44" s="1">
        <f t="shared" si="0"/>
        <v>0</v>
      </c>
    </row>
    <row r="45" spans="1:6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1"/>
      <c r="BJ45" s="1">
        <f t="shared" si="0"/>
        <v>0</v>
      </c>
    </row>
    <row r="46" spans="1:6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1"/>
      <c r="BJ46" s="1">
        <f t="shared" si="0"/>
        <v>0</v>
      </c>
    </row>
    <row r="47" spans="1:6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1"/>
      <c r="BJ47" s="1">
        <f t="shared" si="0"/>
        <v>0</v>
      </c>
    </row>
    <row r="48" spans="1:6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1"/>
      <c r="BJ48" s="1">
        <f t="shared" si="0"/>
        <v>0</v>
      </c>
    </row>
    <row r="49" spans="1:6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1">
        <f t="shared" si="0"/>
        <v>0</v>
      </c>
    </row>
    <row r="50" spans="1:6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1">
        <f t="shared" si="0"/>
        <v>0</v>
      </c>
    </row>
  </sheetData>
  <mergeCells count="17">
    <mergeCell ref="AN1:AO1"/>
    <mergeCell ref="AP1:AS1"/>
    <mergeCell ref="AT1:AY1"/>
    <mergeCell ref="AZ1:BE1"/>
    <mergeCell ref="BF1:BG1"/>
    <mergeCell ref="B1:E1"/>
    <mergeCell ref="F1:I1"/>
    <mergeCell ref="J1:M1"/>
    <mergeCell ref="N1:Q1"/>
    <mergeCell ref="Z1:AA1"/>
    <mergeCell ref="R1:U1"/>
    <mergeCell ref="V1:Y1"/>
    <mergeCell ref="AB1:AE1"/>
    <mergeCell ref="AF1:AG1"/>
    <mergeCell ref="AH1:AI1"/>
    <mergeCell ref="AJ1:AK1"/>
    <mergeCell ref="AL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CDFC-27A0-47D6-92DE-9FA1ED56C4D2}">
  <sheetPr codeName="Hoja4"/>
  <dimension ref="A1:B41"/>
  <sheetViews>
    <sheetView tabSelected="1" topLeftCell="A21" workbookViewId="0">
      <selection sqref="A1:B41"/>
    </sheetView>
  </sheetViews>
  <sheetFormatPr baseColWidth="10" defaultRowHeight="15" x14ac:dyDescent="0.25"/>
  <sheetData>
    <row r="1" spans="1:2" x14ac:dyDescent="0.25">
      <c r="A1" s="17" t="s">
        <v>79</v>
      </c>
      <c r="B1" s="17" t="s">
        <v>84</v>
      </c>
    </row>
    <row r="2" spans="1:2" x14ac:dyDescent="0.25">
      <c r="A2" s="4">
        <v>62108496</v>
      </c>
      <c r="B2" s="1">
        <v>581.02</v>
      </c>
    </row>
    <row r="3" spans="1:2" x14ac:dyDescent="0.25">
      <c r="A3" s="4">
        <v>61959355</v>
      </c>
      <c r="B3" s="1">
        <v>741.57</v>
      </c>
    </row>
    <row r="4" spans="1:2" x14ac:dyDescent="0.25">
      <c r="A4" s="4">
        <v>61989491</v>
      </c>
      <c r="B4" s="1">
        <v>823.89</v>
      </c>
    </row>
    <row r="5" spans="1:2" x14ac:dyDescent="0.25">
      <c r="A5" s="4">
        <v>61529591</v>
      </c>
      <c r="B5" s="1">
        <v>1772.9899999999993</v>
      </c>
    </row>
    <row r="6" spans="1:2" x14ac:dyDescent="0.25">
      <c r="A6" s="4">
        <v>60286433</v>
      </c>
      <c r="B6" s="1">
        <v>831.06</v>
      </c>
    </row>
    <row r="7" spans="1:2" x14ac:dyDescent="0.25">
      <c r="A7" s="4">
        <v>60271383</v>
      </c>
      <c r="B7" s="1">
        <v>567.41999999999996</v>
      </c>
    </row>
    <row r="8" spans="1:2" x14ac:dyDescent="0.25">
      <c r="A8" s="4">
        <v>61609057</v>
      </c>
      <c r="B8" s="1">
        <v>894.65999999999985</v>
      </c>
    </row>
    <row r="9" spans="1:2" x14ac:dyDescent="0.25">
      <c r="A9" s="4">
        <v>60313945</v>
      </c>
      <c r="B9" s="1">
        <v>1199.1600000000001</v>
      </c>
    </row>
    <row r="10" spans="1:2" x14ac:dyDescent="0.25">
      <c r="A10" s="18">
        <v>60619111</v>
      </c>
      <c r="B10" s="1">
        <v>1408.55</v>
      </c>
    </row>
    <row r="11" spans="1:2" x14ac:dyDescent="0.25">
      <c r="A11" s="4">
        <v>76634943</v>
      </c>
      <c r="B11" s="1">
        <v>569.08000000000004</v>
      </c>
    </row>
    <row r="12" spans="1:2" x14ac:dyDescent="0.25">
      <c r="A12" s="4">
        <v>60176383</v>
      </c>
      <c r="B12" s="1">
        <v>1100.29</v>
      </c>
    </row>
    <row r="13" spans="1:2" x14ac:dyDescent="0.25">
      <c r="A13" s="4">
        <v>61256578</v>
      </c>
      <c r="B13" s="1">
        <v>1215.3500000000001</v>
      </c>
    </row>
    <row r="14" spans="1:2" x14ac:dyDescent="0.25">
      <c r="A14" s="4">
        <v>60635320</v>
      </c>
      <c r="B14" s="1">
        <v>1225.9799999999998</v>
      </c>
    </row>
    <row r="15" spans="1:2" x14ac:dyDescent="0.25">
      <c r="A15" s="4">
        <v>60696439</v>
      </c>
      <c r="B15" s="1">
        <v>662.81000000000006</v>
      </c>
    </row>
    <row r="16" spans="1:2" x14ac:dyDescent="0.25">
      <c r="A16" s="4">
        <v>60674776</v>
      </c>
      <c r="B16" s="1">
        <v>942.81</v>
      </c>
    </row>
    <row r="17" spans="1:2" x14ac:dyDescent="0.25">
      <c r="A17" s="4">
        <v>71996083</v>
      </c>
      <c r="B17" s="1">
        <v>1349.9</v>
      </c>
    </row>
    <row r="18" spans="1:2" x14ac:dyDescent="0.25">
      <c r="A18" s="4">
        <v>60674658</v>
      </c>
      <c r="B18" s="1">
        <v>953.7</v>
      </c>
    </row>
    <row r="19" spans="1:2" x14ac:dyDescent="0.25">
      <c r="A19" s="4">
        <v>61256675</v>
      </c>
      <c r="B19" s="1">
        <v>1282.9399999999998</v>
      </c>
    </row>
    <row r="20" spans="1:2" x14ac:dyDescent="0.25">
      <c r="A20" s="4">
        <v>60276387</v>
      </c>
      <c r="B20" s="1">
        <v>820.13</v>
      </c>
    </row>
    <row r="21" spans="1:2" x14ac:dyDescent="0.25">
      <c r="A21" s="4">
        <v>60588968</v>
      </c>
      <c r="B21" s="1">
        <v>1112.7999999999997</v>
      </c>
    </row>
    <row r="22" spans="1:2" x14ac:dyDescent="0.25">
      <c r="A22" s="4">
        <v>60636180</v>
      </c>
      <c r="B22" s="1">
        <v>922.96999999999991</v>
      </c>
    </row>
    <row r="23" spans="1:2" x14ac:dyDescent="0.25">
      <c r="A23" s="4">
        <v>62202977</v>
      </c>
      <c r="B23" s="1">
        <v>299.98</v>
      </c>
    </row>
    <row r="24" spans="1:2" x14ac:dyDescent="0.25">
      <c r="A24" s="4">
        <v>61939371</v>
      </c>
      <c r="B24" s="1">
        <v>1176.08</v>
      </c>
    </row>
    <row r="25" spans="1:2" x14ac:dyDescent="0.25">
      <c r="A25" s="4">
        <v>60643789</v>
      </c>
      <c r="B25" s="1">
        <v>1421.19</v>
      </c>
    </row>
    <row r="26" spans="1:2" x14ac:dyDescent="0.25">
      <c r="A26" s="4">
        <v>61989456</v>
      </c>
      <c r="B26" s="1">
        <v>614.04999999999995</v>
      </c>
    </row>
    <row r="27" spans="1:2" x14ac:dyDescent="0.25">
      <c r="A27" s="4">
        <v>61536721</v>
      </c>
      <c r="B27" s="1">
        <v>525.85</v>
      </c>
    </row>
    <row r="28" spans="1:2" x14ac:dyDescent="0.25">
      <c r="A28" s="4">
        <v>61939423</v>
      </c>
      <c r="B28" s="1">
        <v>723.29</v>
      </c>
    </row>
    <row r="29" spans="1:2" x14ac:dyDescent="0.25">
      <c r="A29" s="4">
        <v>62340541</v>
      </c>
      <c r="B29" s="1">
        <v>262.83</v>
      </c>
    </row>
    <row r="30" spans="1:2" x14ac:dyDescent="0.25">
      <c r="A30" s="4">
        <v>61939398</v>
      </c>
      <c r="B30" s="1">
        <v>774.53999999999985</v>
      </c>
    </row>
    <row r="31" spans="1:2" x14ac:dyDescent="0.25">
      <c r="A31" s="4">
        <v>61001523</v>
      </c>
      <c r="B31" s="1">
        <v>747.61</v>
      </c>
    </row>
    <row r="32" spans="1:2" x14ac:dyDescent="0.25">
      <c r="A32" s="4">
        <v>61939351</v>
      </c>
      <c r="B32" s="1">
        <v>952.54000000000008</v>
      </c>
    </row>
    <row r="33" spans="1:2" x14ac:dyDescent="0.25">
      <c r="A33" s="4">
        <v>73999178</v>
      </c>
      <c r="B33" s="1">
        <v>770.13</v>
      </c>
    </row>
    <row r="34" spans="1:2" x14ac:dyDescent="0.25">
      <c r="A34" s="4">
        <v>61939448</v>
      </c>
      <c r="B34" s="1">
        <v>740.95999999999992</v>
      </c>
    </row>
    <row r="35" spans="1:2" x14ac:dyDescent="0.25">
      <c r="A35" s="4">
        <v>60176440</v>
      </c>
      <c r="B35" s="1">
        <v>719.53</v>
      </c>
    </row>
    <row r="36" spans="1:2" x14ac:dyDescent="0.25">
      <c r="A36" s="4">
        <v>61939379</v>
      </c>
      <c r="B36" s="1">
        <v>587.00999999999988</v>
      </c>
    </row>
    <row r="37" spans="1:2" x14ac:dyDescent="0.25">
      <c r="A37" s="4">
        <v>60619143</v>
      </c>
      <c r="B37" s="1">
        <v>684.81999999999994</v>
      </c>
    </row>
    <row r="38" spans="1:2" x14ac:dyDescent="0.25">
      <c r="A38" s="4">
        <v>61939441</v>
      </c>
      <c r="B38" s="1">
        <v>574.75999999999988</v>
      </c>
    </row>
    <row r="39" spans="1:2" x14ac:dyDescent="0.25">
      <c r="A39" s="4">
        <v>60619092</v>
      </c>
      <c r="B39" s="1">
        <v>961.02999999999986</v>
      </c>
    </row>
    <row r="40" spans="1:2" x14ac:dyDescent="0.25">
      <c r="A40" s="4">
        <v>62340457</v>
      </c>
      <c r="B40" s="1">
        <v>930.37999999999988</v>
      </c>
    </row>
    <row r="41" spans="1:2" x14ac:dyDescent="0.25">
      <c r="A41" s="4">
        <v>60696425</v>
      </c>
      <c r="B41" s="1">
        <v>680.41999999999985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BIO</vt:lpstr>
      <vt:lpstr>SOC</vt:lpstr>
      <vt:lpstr>ING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Tiendas Energon</dc:creator>
  <cp:lastModifiedBy>Edyn Canahua</cp:lastModifiedBy>
  <dcterms:created xsi:type="dcterms:W3CDTF">2026-07-14T01:00:08Z</dcterms:created>
  <dcterms:modified xsi:type="dcterms:W3CDTF">2026-07-14T18:29:51Z</dcterms:modified>
</cp:coreProperties>
</file>